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lexin\Downloads\"/>
    </mc:Choice>
  </mc:AlternateContent>
  <xr:revisionPtr revIDLastSave="0" documentId="8_{0217ACE5-F22F-4508-B6F6-C7E35D0C1F5F}" xr6:coauthVersionLast="47" xr6:coauthVersionMax="47" xr10:uidLastSave="{00000000-0000-0000-0000-000000000000}"/>
  <bookViews>
    <workbookView xWindow="-110" yWindow="-110" windowWidth="19420" windowHeight="10300" xr2:uid="{19753130-DE0C-4F8E-AF46-4A620C3C51AD}"/>
  </bookViews>
  <sheets>
    <sheet name="Sheet1" sheetId="2" r:id="rId1"/>
    <sheet name="Sheet2" sheetId="3" r:id="rId2"/>
    <sheet name="WA_Fn-UseC_-HR-Employee-Attriti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3" i="1" l="1"/>
  <c r="AS7" i="1" s="1"/>
  <c r="AS5" i="1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</calcChain>
</file>

<file path=xl/sharedStrings.xml><?xml version="1.0" encoding="utf-8"?>
<sst xmlns="http://schemas.openxmlformats.org/spreadsheetml/2006/main" count="13359" uniqueCount="90">
  <si>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</si>
  <si>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</si>
  <si>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</si>
  <si>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</si>
  <si>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</si>
  <si>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</si>
  <si>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</si>
  <si>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</si>
  <si>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</si>
  <si>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</si>
  <si>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</si>
  <si>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</si>
  <si>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</si>
  <si>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</si>
  <si>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</si>
  <si>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</si>
  <si>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</si>
  <si>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</si>
  <si>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</si>
  <si>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</si>
  <si>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</si>
  <si>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</si>
  <si>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</si>
  <si>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</si>
  <si>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</si>
  <si>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</si>
  <si>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</si>
  <si>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</si>
  <si>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</si>
  <si>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</si>
  <si>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</si>
  <si>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</si>
  <si>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</si>
  <si>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</si>
  <si>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</si>
  <si>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</si>
  <si>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</si>
  <si>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</si>
  <si>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</si>
  <si>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</si>
  <si>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</si>
  <si>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</si>
  <si>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</si>
  <si>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</si>
  <si>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</si>
  <si>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</si>
  <si>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</si>
  <si>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</si>
  <si>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</si>
  <si>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</si>
  <si>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</si>
  <si>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</si>
  <si>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</si>
  <si>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</si>
  <si>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</si>
  <si>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</si>
  <si>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</si>
  <si>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</si>
  <si>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</si>
  <si>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</si>
  <si>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</si>
  <si>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</si>
  <si>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 Group</t>
  </si>
  <si>
    <t>Income Band</t>
  </si>
  <si>
    <t>Tenure Band</t>
  </si>
  <si>
    <t>Total Employees</t>
  </si>
  <si>
    <t>Employees Who Left</t>
  </si>
  <si>
    <t>Attrition Rate</t>
  </si>
  <si>
    <t>Row Labels</t>
  </si>
  <si>
    <t>Grand Total</t>
  </si>
  <si>
    <t>Column Labels</t>
  </si>
  <si>
    <t>Early Career</t>
  </si>
  <si>
    <t>Mid Career</t>
  </si>
  <si>
    <t>Senior</t>
  </si>
  <si>
    <t>Young</t>
  </si>
  <si>
    <t>Count of EmployeeNumber</t>
  </si>
  <si>
    <t>High</t>
  </si>
  <si>
    <t>Low</t>
  </si>
  <si>
    <t>Medium</t>
  </si>
  <si>
    <t>0–2 Years</t>
  </si>
  <si>
    <t>11+ Years</t>
  </si>
  <si>
    <t>3–5 Years</t>
  </si>
  <si>
    <t>6–10 Years</t>
  </si>
  <si>
    <t>1-5</t>
  </si>
  <si>
    <t>6-10</t>
  </si>
  <si>
    <t>11-15</t>
  </si>
  <si>
    <t>16-20</t>
  </si>
  <si>
    <t>21-25</t>
  </si>
  <si>
    <t>26-30</t>
  </si>
  <si>
    <t>EMPLOYEE ATTRITION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</si>
</sst>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3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[Employee-Attrition-Excel-Dashboard.xlsx]Sheet1!PivotTable2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Sheet1!$B$11:$B$12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Sheet1!$A$13:$A$17</c:f>
              <c:strCache>
                <c:ptCount val="4"/>
                <c:pt idx="0">
                  <c:v>Early Career</c:v>
                </c:pt>
                <c:pt idx="1">
                  <c:v>Mid Career</c:v>
                </c:pt>
                <c:pt idx="2">
                  <c:v>Senior</c:v>
                </c:pt>
                <c:pt idx="3">
                  <c:v>Young</c:v>
                </c:pt>
              </c:strCache>
            </c:strRef>
          </c:cat>
          <c:val>
            <c:numRef>
              <c:f>Sheet1!$B$13:$B$17</c:f>
              <c:numCache>
                <c:formatCode>0.00%</c:formatCode>
                <c:ptCount val="4"/>
                <c:pt idx="0">
                  <c:v>0.8085808580858086</c:v>
                </c:pt>
                <c:pt idx="1">
                  <c:v>0.90811965811965811</c:v>
                </c:pt>
                <c:pt idx="2">
                  <c:v>0.87545787545787546</c:v>
                </c:pt>
                <c:pt idx="3">
                  <c:v>0.64227642276422769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50-441F-8494-55CC41BBAF1C}"/>
            </c:ext>
          </c:extLst>
        </c:ser>
        <c:ser>
          <c:idx val="1"/>
          <c:order val="1"/>
          <c:tx>
            <c:strRef>
              <c:f>Sheet1!$C$11:$C$12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Sheet1!$A$13:$A$17</c:f>
              <c:strCache>
                <c:ptCount val="4"/>
                <c:pt idx="0">
                  <c:v>Early Career</c:v>
                </c:pt>
                <c:pt idx="1">
                  <c:v>Mid Career</c:v>
                </c:pt>
                <c:pt idx="2">
                  <c:v>Senior</c:v>
                </c:pt>
                <c:pt idx="3">
                  <c:v>Young</c:v>
                </c:pt>
              </c:strCache>
            </c:strRef>
          </c:cat>
          <c:val>
            <c:numRef>
              <c:f>Sheet1!$C$13:$C$17</c:f>
              <c:numCache>
                <c:formatCode>0.00%</c:formatCode>
                <c:ptCount val="4"/>
                <c:pt idx="0">
                  <c:v>0.19141914191419143</c:v>
                </c:pt>
                <c:pt idx="1">
                  <c:v>9.1880341880341887E-2</c:v>
                </c:pt>
                <c:pt idx="2">
                  <c:v>0.12454212454212454</c:v>
                </c:pt>
                <c:pt idx="3">
                  <c:v>0.35772357723577236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2-43C5-9209-ED552AEAD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946432"/>
        <c:axId val="42936832"/>
      </c:barChart>
      <c:catAx>
        <c:axId val="4294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36832"/>
        <c:crosses val="autoZero"/>
        <c:auto val="1"/>
        <c:lblAlgn val="ctr"/>
        <c:lblOffset val="100"/>
        <c:noMultiLvlLbl val="0"/>
      </c:catAx>
      <c:valAx>
        <c:axId val="4293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4643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[Employee-Attrition-Excel-Dashboard.xlsx]Sheet1!PivotTable3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Rate by Overtime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Sheet1!$B$22:$B$23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Sheet1!$A$24:$A$26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Sheet1!$B$24:$B$26</c:f>
              <c:numCache>
                <c:formatCode>0.00%</c:formatCode>
                <c:ptCount val="2"/>
                <c:pt idx="0">
                  <c:v>0.89563567362428842</c:v>
                </c:pt>
                <c:pt idx="1">
                  <c:v>0.69471153846153844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50-442B-86CE-6E9DCC238707}"/>
            </c:ext>
          </c:extLst>
        </c:ser>
        <c:ser>
          <c:idx val="1"/>
          <c:order val="1"/>
          <c:tx>
            <c:strRef>
              <c:f>Sheet1!$C$22:$C$23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Sheet1!$A$24:$A$26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Sheet1!$C$24:$C$26</c:f>
              <c:numCache>
                <c:formatCode>0.00%</c:formatCode>
                <c:ptCount val="2"/>
                <c:pt idx="0">
                  <c:v>0.10436432637571158</c:v>
                </c:pt>
                <c:pt idx="1">
                  <c:v>0.30528846153846156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50-442B-86CE-6E9DCC238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27325199"/>
        <c:axId val="2027328079"/>
        <c:axId val="2019717775"/>
      </c:bar3DChart>
      <c:catAx>
        <c:axId val="202732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328079"/>
        <c:crosses val="autoZero"/>
        <c:auto val="1"/>
        <c:lblAlgn val="ctr"/>
        <c:lblOffset val="100"/>
        <c:noMultiLvlLbl val="0"/>
      </c:catAx>
      <c:valAx>
        <c:axId val="202732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325199"/>
        <c:crosses val="autoZero"/>
        <c:crossBetween val="between"/>
      </c:valAx>
      <c:serAx>
        <c:axId val="2019717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328079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[Employee-Attrition-Excel-Dashboard.xlsx]Sheet1!PivotTable4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Rate by Job Role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Sheet1!$B$29:$B$30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Sheet1!$A$31:$A$40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Sheet1!$B$31:$B$40</c:f>
              <c:numCache>
                <c:formatCode>0.00%</c:formatCode>
                <c:ptCount val="9"/>
                <c:pt idx="0">
                  <c:v>0.93129770992366412</c:v>
                </c:pt>
                <c:pt idx="1">
                  <c:v>0.76923076923076927</c:v>
                </c:pt>
                <c:pt idx="2">
                  <c:v>0.76061776061776065</c:v>
                </c:pt>
                <c:pt idx="3">
                  <c:v>0.9509803921568627</c:v>
                </c:pt>
                <c:pt idx="4">
                  <c:v>0.93103448275862066</c:v>
                </c:pt>
                <c:pt idx="5">
                  <c:v>0.97499999999999998</c:v>
                </c:pt>
                <c:pt idx="6">
                  <c:v>0.83904109589041098</c:v>
                </c:pt>
                <c:pt idx="7">
                  <c:v>0.82515337423312884</c:v>
                </c:pt>
                <c:pt idx="8">
                  <c:v>0.60240963855421692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9B-4438-9552-4B4DCFA80BBD}"/>
            </c:ext>
          </c:extLst>
        </c:ser>
        <c:ser>
          <c:idx val="1"/>
          <c:order val="1"/>
          <c:tx>
            <c:strRef>
              <c:f>Sheet1!$C$29:$C$30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Sheet1!$A$31:$A$40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Sheet1!$C$31:$C$40</c:f>
              <c:numCache>
                <c:formatCode>0.00%</c:formatCode>
                <c:ptCount val="9"/>
                <c:pt idx="0">
                  <c:v>6.8702290076335881E-2</c:v>
                </c:pt>
                <c:pt idx="1">
                  <c:v>0.23076923076923078</c:v>
                </c:pt>
                <c:pt idx="2">
                  <c:v>0.23938223938223938</c:v>
                </c:pt>
                <c:pt idx="3">
                  <c:v>4.9019607843137254E-2</c:v>
                </c:pt>
                <c:pt idx="4">
                  <c:v>6.8965517241379309E-2</c:v>
                </c:pt>
                <c:pt idx="5">
                  <c:v>2.5000000000000001E-2</c:v>
                </c:pt>
                <c:pt idx="6">
                  <c:v>0.16095890410958905</c:v>
                </c:pt>
                <c:pt idx="7">
                  <c:v>0.17484662576687116</c:v>
                </c:pt>
                <c:pt idx="8">
                  <c:v>0.39759036144578314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9B-4438-9552-4B4DCFA80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7329999"/>
        <c:axId val="2027330479"/>
      </c:barChart>
      <c:catAx>
        <c:axId val="2027329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330479"/>
        <c:crosses val="autoZero"/>
        <c:auto val="1"/>
        <c:lblAlgn val="ctr"/>
        <c:lblOffset val="100"/>
        <c:noMultiLvlLbl val="0"/>
      </c:catAx>
      <c:valAx>
        <c:axId val="202733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32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[Employee-Attrition-Excel-Dashboard.xlsx]Sheet1!PivotTable5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Rate by Job Satisaction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Sheet1!$B$42:$B$43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Sheet1!$A$44:$A$48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Sheet1!$B$44:$B$48</c:f>
              <c:numCache>
                <c:formatCode>0.00%</c:formatCode>
                <c:ptCount val="4"/>
                <c:pt idx="0">
                  <c:v>0.77162629757785473</c:v>
                </c:pt>
                <c:pt idx="1">
                  <c:v>0.83571428571428574</c:v>
                </c:pt>
                <c:pt idx="2">
                  <c:v>0.83484162895927605</c:v>
                </c:pt>
                <c:pt idx="3">
                  <c:v>0.88671023965141615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2-4667-B16D-9B8BCDD6E3E0}"/>
            </c:ext>
          </c:extLst>
        </c:ser>
        <c:ser>
          <c:idx val="1"/>
          <c:order val="1"/>
          <c:tx>
            <c:strRef>
              <c:f>Sheet1!$C$42:$C$43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Sheet1!$A$44:$A$48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Sheet1!$C$44:$C$48</c:f>
              <c:numCache>
                <c:formatCode>0.00%</c:formatCode>
                <c:ptCount val="4"/>
                <c:pt idx="0">
                  <c:v>0.22837370242214533</c:v>
                </c:pt>
                <c:pt idx="1">
                  <c:v>0.16428571428571428</c:v>
                </c:pt>
                <c:pt idx="2">
                  <c:v>0.16515837104072398</c:v>
                </c:pt>
                <c:pt idx="3">
                  <c:v>0.11328976034858387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32-4667-B16D-9B8BCDD6E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7350159"/>
        <c:axId val="2027349679"/>
      </c:barChart>
      <c:catAx>
        <c:axId val="202735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349679"/>
        <c:crosses val="autoZero"/>
        <c:auto val="1"/>
        <c:lblAlgn val="ctr"/>
        <c:lblOffset val="100"/>
        <c:noMultiLvlLbl val="0"/>
      </c:catAx>
      <c:valAx>
        <c:axId val="202734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350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[Employee-Attrition-Excel-Dashboard.xlsx]Sheet1!PivotTable1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Sheet1!$B$5:$B$8</c:f>
              <c:numCache>
                <c:formatCode>0.00%</c:formatCode>
                <c:ptCount val="3"/>
                <c:pt idx="0">
                  <c:v>0.80952380952380953</c:v>
                </c:pt>
                <c:pt idx="1">
                  <c:v>0.86160249739854322</c:v>
                </c:pt>
                <c:pt idx="2">
                  <c:v>0.79372197309417036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F-472F-9B01-E5F7A92FB7BE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Sheet1!$C$5:$C$8</c:f>
              <c:numCache>
                <c:formatCode>0.00%</c:formatCode>
                <c:ptCount val="3"/>
                <c:pt idx="0">
                  <c:v>0.19047619047619047</c:v>
                </c:pt>
                <c:pt idx="1">
                  <c:v>0.13839750260145681</c:v>
                </c:pt>
                <c:pt idx="2">
                  <c:v>0.20627802690582961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DF-472F-9B01-E5F7A92FB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07391"/>
        <c:axId val="50716031"/>
      </c:barChart>
      <c:catAx>
        <c:axId val="5070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16031"/>
        <c:crosses val="autoZero"/>
        <c:auto val="1"/>
        <c:lblAlgn val="ctr"/>
        <c:lblOffset val="100"/>
        <c:noMultiLvlLbl val="0"/>
      </c:catAx>
      <c:valAx>
        <c:axId val="5071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0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[Employee-Attrition-Excel-Dashboard.xlsx]Sheet1!PivotTable1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Sheet1!$B$5:$B$8</c:f>
              <c:numCache>
                <c:formatCode>0.00%</c:formatCode>
                <c:ptCount val="3"/>
                <c:pt idx="0">
                  <c:v>0.80952380952380953</c:v>
                </c:pt>
                <c:pt idx="1">
                  <c:v>0.86160249739854322</c:v>
                </c:pt>
                <c:pt idx="2">
                  <c:v>0.79372197309417036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2-4196-B05F-DDD4ABC944BB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Sheet1!$C$5:$C$8</c:f>
              <c:numCache>
                <c:formatCode>0.00%</c:formatCode>
                <c:ptCount val="3"/>
                <c:pt idx="0">
                  <c:v>0.19047619047619047</c:v>
                </c:pt>
                <c:pt idx="1">
                  <c:v>0.13839750260145681</c:v>
                </c:pt>
                <c:pt idx="2">
                  <c:v>0.20627802690582961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B4-4F14-A1C5-32FAE5DFD00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427315568"/>
        <c:axId val="427313168"/>
      </c:barChart>
      <c:catAx>
        <c:axId val="427315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313168"/>
        <c:crosses val="autoZero"/>
        <c:auto val="1"/>
        <c:lblAlgn val="ctr"/>
        <c:lblOffset val="100"/>
        <c:noMultiLvlLbl val="0"/>
      </c:catAx>
      <c:valAx>
        <c:axId val="427313168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42731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[Employee-Attrition-Excel-Dashboard.xlsx]Sheet1!PivotTable2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144910916234999"/>
          <c:y val="0.23818765003339742"/>
          <c:w val="0.72863635268982929"/>
          <c:h val="0.589363432216422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Sheet1!$B$11:$B$12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Sheet1!$A$13:$A$17</c:f>
              <c:strCache>
                <c:ptCount val="4"/>
                <c:pt idx="0">
                  <c:v>Early Career</c:v>
                </c:pt>
                <c:pt idx="1">
                  <c:v>Mid Career</c:v>
                </c:pt>
                <c:pt idx="2">
                  <c:v>Senior</c:v>
                </c:pt>
                <c:pt idx="3">
                  <c:v>Young</c:v>
                </c:pt>
              </c:strCache>
            </c:strRef>
          </c:cat>
          <c:val>
            <c:numRef>
              <c:f>Sheet1!$B$13:$B$17</c:f>
              <c:numCache>
                <c:formatCode>0.00%</c:formatCode>
                <c:ptCount val="4"/>
                <c:pt idx="0">
                  <c:v>0.8085808580858086</c:v>
                </c:pt>
                <c:pt idx="1">
                  <c:v>0.90811965811965811</c:v>
                </c:pt>
                <c:pt idx="2">
                  <c:v>0.87545787545787546</c:v>
                </c:pt>
                <c:pt idx="3">
                  <c:v>0.64227642276422769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C4-420E-8DF5-9E9DA7551C3A}"/>
            </c:ext>
          </c:extLst>
        </c:ser>
        <c:ser>
          <c:idx val="1"/>
          <c:order val="1"/>
          <c:tx>
            <c:strRef>
              <c:f>Sheet1!$C$11:$C$12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Sheet1!$A$13:$A$17</c:f>
              <c:strCache>
                <c:ptCount val="4"/>
                <c:pt idx="0">
                  <c:v>Early Career</c:v>
                </c:pt>
                <c:pt idx="1">
                  <c:v>Mid Career</c:v>
                </c:pt>
                <c:pt idx="2">
                  <c:v>Senior</c:v>
                </c:pt>
                <c:pt idx="3">
                  <c:v>Young</c:v>
                </c:pt>
              </c:strCache>
            </c:strRef>
          </c:cat>
          <c:val>
            <c:numRef>
              <c:f>Sheet1!$C$13:$C$17</c:f>
              <c:numCache>
                <c:formatCode>0.00%</c:formatCode>
                <c:ptCount val="4"/>
                <c:pt idx="0">
                  <c:v>0.19141914191419143</c:v>
                </c:pt>
                <c:pt idx="1">
                  <c:v>9.1880341880341887E-2</c:v>
                </c:pt>
                <c:pt idx="2">
                  <c:v>0.12454212454212454</c:v>
                </c:pt>
                <c:pt idx="3">
                  <c:v>0.35772357723577236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C4-420E-8DF5-9E9DA7551C3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444"/>
        <c:overlap val="-90"/>
        <c:axId val="42946432"/>
        <c:axId val="42936832"/>
      </c:barChart>
      <c:catAx>
        <c:axId val="4294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36832"/>
        <c:crosses val="autoZero"/>
        <c:auto val="1"/>
        <c:lblAlgn val="ctr"/>
        <c:lblOffset val="100"/>
        <c:noMultiLvlLbl val="0"/>
      </c:catAx>
      <c:valAx>
        <c:axId val="4293683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4294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[Employee-Attrition-Excel-Dashboard.xlsx]Sheet1!PivotTable4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ATTRITION RATE BY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noFill/>
            <a:ln w="19050" cap="rnd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noFill/>
            <a:ln w="19050" cap="rnd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Sheet1!$B$29:$B$30</c:f>
              <c:strCache>
                <c:ptCount val="1"/>
                <c:pt idx="0">
                  <c:v>No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strRef>
              <c:f>Sheet1!$A$31:$A$40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Sheet1!$B$31:$B$40</c:f>
              <c:numCache>
                <c:formatCode>0.00%</c:formatCode>
                <c:ptCount val="9"/>
                <c:pt idx="0">
                  <c:v>0.93129770992366412</c:v>
                </c:pt>
                <c:pt idx="1">
                  <c:v>0.76923076923076927</c:v>
                </c:pt>
                <c:pt idx="2">
                  <c:v>0.76061776061776065</c:v>
                </c:pt>
                <c:pt idx="3">
                  <c:v>0.9509803921568627</c:v>
                </c:pt>
                <c:pt idx="4">
                  <c:v>0.93103448275862066</c:v>
                </c:pt>
                <c:pt idx="5">
                  <c:v>0.97499999999999998</c:v>
                </c:pt>
                <c:pt idx="6">
                  <c:v>0.83904109589041098</c:v>
                </c:pt>
                <c:pt idx="7">
                  <c:v>0.82515337423312884</c:v>
                </c:pt>
                <c:pt idx="8">
                  <c:v>0.60240963855421692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D-4624-935C-D74A0D3C9E09}"/>
            </c:ext>
          </c:extLst>
        </c:ser>
        <c:ser>
          <c:idx val="1"/>
          <c:order val="1"/>
          <c:tx>
            <c:strRef>
              <c:f>Sheet1!$C$29:$C$30</c:f>
              <c:strCache>
                <c:ptCount val="1"/>
                <c:pt idx="0">
                  <c:v>Yes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cat>
            <c:strRef>
              <c:f>Sheet1!$A$31:$A$40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Sheet1!$C$31:$C$40</c:f>
              <c:numCache>
                <c:formatCode>0.00%</c:formatCode>
                <c:ptCount val="9"/>
                <c:pt idx="0">
                  <c:v>6.8702290076335881E-2</c:v>
                </c:pt>
                <c:pt idx="1">
                  <c:v>0.23076923076923078</c:v>
                </c:pt>
                <c:pt idx="2">
                  <c:v>0.23938223938223938</c:v>
                </c:pt>
                <c:pt idx="3">
                  <c:v>4.9019607843137254E-2</c:v>
                </c:pt>
                <c:pt idx="4">
                  <c:v>6.8965517241379309E-2</c:v>
                </c:pt>
                <c:pt idx="5">
                  <c:v>2.5000000000000001E-2</c:v>
                </c:pt>
                <c:pt idx="6">
                  <c:v>0.16095890410958905</c:v>
                </c:pt>
                <c:pt idx="7">
                  <c:v>0.17484662576687116</c:v>
                </c:pt>
                <c:pt idx="8">
                  <c:v>0.39759036144578314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4D-4624-935C-D74A0D3C9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2027329999"/>
        <c:axId val="2027330479"/>
      </c:barChart>
      <c:catAx>
        <c:axId val="202732999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330479"/>
        <c:crosses val="autoZero"/>
        <c:auto val="1"/>
        <c:lblAlgn val="ctr"/>
        <c:lblOffset val="100"/>
        <c:noMultiLvlLbl val="0"/>
      </c:catAx>
      <c:valAx>
        <c:axId val="2027330479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202732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[Employee-Attrition-Excel-Dashboard.xlsx]Sheet1!PivotTable3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ATTRITION</a:t>
            </a:r>
            <a:r>
              <a:rPr lang="en-US" sz="2000" b="1" baseline="0"/>
              <a:t> RATE BY OVERTIME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Sheet1!$B$22:$B$23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Sheet1!$A$24:$A$26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Sheet1!$B$24:$B$26</c:f>
              <c:numCache>
                <c:formatCode>0.00%</c:formatCode>
                <c:ptCount val="2"/>
                <c:pt idx="0">
                  <c:v>0.89563567362428842</c:v>
                </c:pt>
                <c:pt idx="1">
                  <c:v>0.69471153846153844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54-4ADA-AFFE-08EBCEA54FBD}"/>
            </c:ext>
          </c:extLst>
        </c:ser>
        <c:ser>
          <c:idx val="1"/>
          <c:order val="1"/>
          <c:tx>
            <c:strRef>
              <c:f>Sheet1!$C$22:$C$23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Sheet1!$A$24:$A$26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Sheet1!$C$24:$C$26</c:f>
              <c:numCache>
                <c:formatCode>0.00%</c:formatCode>
                <c:ptCount val="2"/>
                <c:pt idx="0">
                  <c:v>0.10436432637571158</c:v>
                </c:pt>
                <c:pt idx="1">
                  <c:v>0.30528846153846156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54-4ADA-AFFE-08EBCEA54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27325199"/>
        <c:axId val="2027328079"/>
        <c:axId val="2019717775"/>
      </c:bar3DChart>
      <c:catAx>
        <c:axId val="20273251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27328079"/>
        <c:crosses val="autoZero"/>
        <c:auto val="1"/>
        <c:lblAlgn val="ctr"/>
        <c:lblOffset val="100"/>
        <c:noMultiLvlLbl val="0"/>
      </c:catAx>
      <c:valAx>
        <c:axId val="202732807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2027325199"/>
        <c:crosses val="autoZero"/>
        <c:crossBetween val="between"/>
      </c:valAx>
      <c:serAx>
        <c:axId val="2019717775"/>
        <c:scaling>
          <c:orientation val="minMax"/>
        </c:scaling>
        <c:delete val="1"/>
        <c:axPos val="b"/>
        <c:majorTickMark val="none"/>
        <c:minorTickMark val="none"/>
        <c:tickLblPos val="nextTo"/>
        <c:crossAx val="2027328079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[Employee-Attrition-Excel-Dashboard.xlsx]Sheet1!PivotTable5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Job Satisaction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Sheet1!$B$42:$B$43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Sheet1!$A$44:$A$48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Sheet1!$B$44:$B$48</c:f>
              <c:numCache>
                <c:formatCode>0.00%</c:formatCode>
                <c:ptCount val="4"/>
                <c:pt idx="0">
                  <c:v>0.77162629757785473</c:v>
                </c:pt>
                <c:pt idx="1">
                  <c:v>0.83571428571428574</c:v>
                </c:pt>
                <c:pt idx="2">
                  <c:v>0.83484162895927605</c:v>
                </c:pt>
                <c:pt idx="3">
                  <c:v>0.88671023965141615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B-4BD1-B0C0-79681F44F587}"/>
            </c:ext>
          </c:extLst>
        </c:ser>
        <c:ser>
          <c:idx val="1"/>
          <c:order val="1"/>
          <c:tx>
            <c:strRef>
              <c:f>Sheet1!$C$42:$C$43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Sheet1!$A$44:$A$48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Sheet1!$C$44:$C$48</c:f>
              <c:numCache>
                <c:formatCode>0.00%</c:formatCode>
                <c:ptCount val="4"/>
                <c:pt idx="0">
                  <c:v>0.22837370242214533</c:v>
                </c:pt>
                <c:pt idx="1">
                  <c:v>0.16428571428571428</c:v>
                </c:pt>
                <c:pt idx="2">
                  <c:v>0.16515837104072398</c:v>
                </c:pt>
                <c:pt idx="3">
                  <c:v>0.11328976034858387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DB-4BD1-B0C0-79681F44F58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7350159"/>
        <c:axId val="2027349679"/>
      </c:barChart>
      <c:catAx>
        <c:axId val="20273501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349679"/>
        <c:crosses val="autoZero"/>
        <c:auto val="1"/>
        <c:lblAlgn val="ctr"/>
        <c:lblOffset val="100"/>
        <c:noMultiLvlLbl val="0"/>
      </c:catAx>
      <c:valAx>
        <c:axId val="202734967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2027350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288567</xdr:colOff>
      <xdr:row>0</xdr:row>
      <xdr:rowOff>18343</xdr:rowOff>
    </xdr:from>
    <xdr:to>
      <xdr:col>26</xdr:col>
      <xdr:colOff>383817</xdr:colOff>
      <xdr:row>9</xdr:row>
      <xdr:rowOff>154162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F6AAEAB-BB9C-4B9F-ABE3-6C037CD1D0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511529</xdr:colOff>
      <xdr:row>0</xdr:row>
      <xdr:rowOff>0</xdr:rowOff>
    </xdr:from>
    <xdr:to>
      <xdr:col>20</xdr:col>
      <xdr:colOff>229306</xdr:colOff>
      <xdr:row>14</xdr:row>
      <xdr:rowOff>174978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335EE53-1AF3-2FC4-DC85-48EB451D3C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575029</xdr:colOff>
      <xdr:row>15</xdr:row>
      <xdr:rowOff>159455</xdr:rowOff>
    </xdr:from>
    <xdr:to>
      <xdr:col>20</xdr:col>
      <xdr:colOff>95250</xdr:colOff>
      <xdr:row>30</xdr:row>
      <xdr:rowOff>150989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BFBAAE0-5769-E3B0-CCC4-F15D0AAE7D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596196</xdr:colOff>
      <xdr:row>30</xdr:row>
      <xdr:rowOff>166511</xdr:rowOff>
    </xdr:from>
    <xdr:to>
      <xdr:col>20</xdr:col>
      <xdr:colOff>116417</xdr:colOff>
      <xdr:row>45</xdr:row>
      <xdr:rowOff>158044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C6145A6-D5AF-034B-E07A-F1CF35990E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257536</xdr:colOff>
      <xdr:row>16</xdr:row>
      <xdr:rowOff>95956</xdr:rowOff>
    </xdr:from>
    <xdr:to>
      <xdr:col>27</xdr:col>
      <xdr:colOff>582092</xdr:colOff>
      <xdr:row>31</xdr:row>
      <xdr:rowOff>87489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4095870-4FD4-7F82-319C-DAFB6B491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544286</xdr:colOff>
      <xdr:row>5</xdr:row>
      <xdr:rowOff>6423</xdr:rowOff>
    </xdr:from>
    <xdr:to>
      <xdr:col>6</xdr:col>
      <xdr:colOff>367118</xdr:colOff>
      <xdr:row>11</xdr:row>
      <xdr:rowOff>110872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47366B5-6A5B-6B60-8F12-56598667F5DC}"/>
            </a:ext>
          </a:extLst>
        </xdr:cNvPr>
        <xdr:cNvSpPr/>
      </xdr:nvSpPr>
      <xdr:spPr>
        <a:xfrm>
          <a:off x="544286" y="1336899"/>
          <a:ext cx="3451403" cy="119302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/>
            <a:t>             </a:t>
          </a:r>
          <a:endParaRPr lang="en-US" sz="20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           1,470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EMPLOYEES</a:t>
          </a:r>
          <a:endParaRPr lang="en-US" sz="2000"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6</xdr:col>
      <xdr:colOff>359308</xdr:colOff>
      <xdr:row>5</xdr:row>
      <xdr:rowOff>9797</xdr:rowOff>
    </xdr:from>
    <xdr:to>
      <xdr:col>12</xdr:col>
      <xdr:colOff>94406</xdr:colOff>
      <xdr:row>11</xdr:row>
      <xdr:rowOff>110732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3067410-F8E7-4E38-B0B4-13D4EB64D569}"/>
            </a:ext>
          </a:extLst>
        </xdr:cNvPr>
        <xdr:cNvSpPr/>
      </xdr:nvSpPr>
      <xdr:spPr>
        <a:xfrm>
          <a:off x="3987879" y="1340273"/>
          <a:ext cx="3363670" cy="118950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r>
            <a:rPr lang="en-US" sz="1800"/>
            <a:t>                            </a:t>
          </a:r>
          <a:r>
            <a:rPr lang="en-US" sz="2400"/>
            <a:t>237</a:t>
          </a:r>
        </a:p>
        <a:p>
          <a:pPr algn="l"/>
          <a:r>
            <a:rPr lang="en-US" sz="2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            LEFT</a:t>
          </a:r>
          <a:endParaRPr lang="en-US" sz="2400"/>
        </a:p>
      </xdr:txBody>
    </xdr:sp>
    <xdr:clientData/>
  </xdr:twoCellAnchor>
  <xdr:twoCellAnchor>
    <xdr:from>
      <xdr:col>12</xdr:col>
      <xdr:colOff>94404</xdr:colOff>
      <xdr:row>5</xdr:row>
      <xdr:rowOff>5556</xdr:rowOff>
    </xdr:from>
    <xdr:to>
      <xdr:col>17</xdr:col>
      <xdr:colOff>473731</xdr:colOff>
      <xdr:row>11</xdr:row>
      <xdr:rowOff>110873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06A18B1-2FF2-4147-AA14-2D946F940501}"/>
            </a:ext>
          </a:extLst>
        </xdr:cNvPr>
        <xdr:cNvSpPr/>
      </xdr:nvSpPr>
      <xdr:spPr>
        <a:xfrm>
          <a:off x="7351547" y="1336032"/>
          <a:ext cx="3403136" cy="119388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r>
            <a:rPr lang="en-US" sz="2400"/>
            <a:t>            16.12%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  ATTRITION </a:t>
          </a:r>
          <a:endParaRPr lang="en-US" sz="2400"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524327</xdr:colOff>
      <xdr:row>11</xdr:row>
      <xdr:rowOff>110728</xdr:rowOff>
    </xdr:from>
    <xdr:to>
      <xdr:col>9</xdr:col>
      <xdr:colOff>59625</xdr:colOff>
      <xdr:row>27</xdr:row>
      <xdr:rowOff>66013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BA8A38-D10D-4A37-BE32-64FBEF9CF7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70836</xdr:colOff>
      <xdr:row>11</xdr:row>
      <xdr:rowOff>110872</xdr:rowOff>
    </xdr:from>
    <xdr:to>
      <xdr:col>17</xdr:col>
      <xdr:colOff>493889</xdr:colOff>
      <xdr:row>27</xdr:row>
      <xdr:rowOff>80635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5A00D3A-2D72-49D4-B97F-2B3BBD9547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531368</xdr:colOff>
      <xdr:row>45</xdr:row>
      <xdr:rowOff>83079</xdr:rowOff>
    </xdr:from>
    <xdr:to>
      <xdr:col>17</xdr:col>
      <xdr:colOff>514048</xdr:colOff>
      <xdr:row>66</xdr:row>
      <xdr:rowOff>60476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1C1330-7316-4FCF-9B8B-A91E941887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522422</xdr:colOff>
      <xdr:row>27</xdr:row>
      <xdr:rowOff>44714</xdr:rowOff>
    </xdr:from>
    <xdr:to>
      <xdr:col>9</xdr:col>
      <xdr:colOff>60759</xdr:colOff>
      <xdr:row>45</xdr:row>
      <xdr:rowOff>80487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58EFA77-37A9-4CC9-915A-7F5458CA4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59619</xdr:colOff>
      <xdr:row>27</xdr:row>
      <xdr:rowOff>46987</xdr:rowOff>
    </xdr:from>
    <xdr:to>
      <xdr:col>17</xdr:col>
      <xdr:colOff>503969</xdr:colOff>
      <xdr:row>45</xdr:row>
      <xdr:rowOff>110872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C922165-646D-4C32-960E-B126256688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lexin" refreshedDate="46297.683380208335" createdVersion="8" refreshedVersion="8" minRefreshableVersion="3" recordCount="1470" xr:uid="{780DF4D2-4F28-4E44-A016-B1C903EE3130}">
  <cacheSource type="worksheet">
    <worksheetSource name="Table1"/>
  </cacheSource>
  <cacheFields count="38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 count="29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n v="18"/>
        <n v="29"/>
        <n v="22"/>
        <n v="14"/>
        <n v="20"/>
        <n v="28"/>
        <n v="17"/>
        <n v="13"/>
      </sharedItems>
      <fieldGroup base="5">
        <rangePr startNum="1" endNum="29" groupInterval="5"/>
        <groupItems count="8">
          <s v="&lt;1"/>
          <s v="1-5"/>
          <s v="6-10"/>
          <s v="11-15"/>
          <s v="16-20"/>
          <s v="21-25"/>
          <s v="26-30"/>
          <s v="&gt;31"/>
        </groupItems>
      </fieldGroup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ge Group" numFmtId="0">
      <sharedItems count="4">
        <s v="Mid Career"/>
        <s v="Senior"/>
        <s v="Early Career"/>
        <s v="Young"/>
      </sharedItems>
    </cacheField>
    <cacheField name="Income Band" numFmtId="0">
      <sharedItems count="3">
        <s v="Medium"/>
        <s v="Low"/>
        <s v="High"/>
      </sharedItems>
    </cacheField>
    <cacheField name="Tenure Band" numFmtId="0">
      <sharedItems count="4">
        <s v="6–10 Years"/>
        <s v="0–2 Years"/>
        <s v="3–5 Years"/>
        <s v="11+ Yea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x v="0"/>
    <n v="2"/>
    <s v="Life Sciences"/>
    <n v="1"/>
    <n v="1"/>
    <n v="2"/>
    <s v="Female"/>
    <n v="94"/>
    <n v="3"/>
    <n v="2"/>
    <x v="0"/>
    <x v="0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  <x v="0"/>
    <x v="0"/>
    <x v="0"/>
  </r>
  <r>
    <n v="49"/>
    <x v="1"/>
    <s v="Travel_Frequently"/>
    <n v="279"/>
    <x v="1"/>
    <x v="1"/>
    <n v="1"/>
    <s v="Life Sciences"/>
    <n v="1"/>
    <n v="2"/>
    <n v="3"/>
    <s v="Male"/>
    <n v="61"/>
    <n v="2"/>
    <n v="2"/>
    <x v="1"/>
    <x v="1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  <x v="1"/>
    <x v="0"/>
    <x v="0"/>
  </r>
  <r>
    <n v="37"/>
    <x v="0"/>
    <s v="Travel_Rarely"/>
    <n v="1373"/>
    <x v="1"/>
    <x v="2"/>
    <n v="2"/>
    <s v="Other"/>
    <n v="1"/>
    <n v="4"/>
    <n v="4"/>
    <s v="Male"/>
    <n v="92"/>
    <n v="2"/>
    <n v="1"/>
    <x v="2"/>
    <x v="2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  <x v="0"/>
    <x v="1"/>
    <x v="1"/>
  </r>
  <r>
    <n v="33"/>
    <x v="1"/>
    <s v="Travel_Frequently"/>
    <n v="1392"/>
    <x v="1"/>
    <x v="3"/>
    <n v="4"/>
    <s v="Life Sciences"/>
    <n v="1"/>
    <n v="5"/>
    <n v="4"/>
    <s v="Female"/>
    <n v="56"/>
    <n v="3"/>
    <n v="1"/>
    <x v="1"/>
    <x v="2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  <x v="2"/>
    <x v="1"/>
    <x v="0"/>
  </r>
  <r>
    <n v="27"/>
    <x v="1"/>
    <s v="Travel_Rarely"/>
    <n v="591"/>
    <x v="1"/>
    <x v="2"/>
    <n v="1"/>
    <s v="Medical"/>
    <n v="1"/>
    <n v="7"/>
    <n v="1"/>
    <s v="Male"/>
    <n v="40"/>
    <n v="3"/>
    <n v="1"/>
    <x v="2"/>
    <x v="1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  <x v="2"/>
    <x v="0"/>
    <x v="1"/>
  </r>
  <r>
    <n v="32"/>
    <x v="1"/>
    <s v="Travel_Frequently"/>
    <n v="1005"/>
    <x v="1"/>
    <x v="2"/>
    <n v="2"/>
    <s v="Life Sciences"/>
    <n v="1"/>
    <n v="8"/>
    <n v="4"/>
    <s v="Male"/>
    <n v="79"/>
    <n v="3"/>
    <n v="1"/>
    <x v="2"/>
    <x v="0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  <x v="2"/>
    <x v="0"/>
    <x v="0"/>
  </r>
  <r>
    <n v="59"/>
    <x v="1"/>
    <s v="Travel_Rarely"/>
    <n v="1324"/>
    <x v="1"/>
    <x v="3"/>
    <n v="3"/>
    <s v="Medical"/>
    <n v="1"/>
    <n v="10"/>
    <n v="3"/>
    <s v="Female"/>
    <n v="81"/>
    <n v="4"/>
    <n v="1"/>
    <x v="2"/>
    <x v="3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  <x v="1"/>
    <x v="1"/>
    <x v="1"/>
  </r>
  <r>
    <n v="30"/>
    <x v="1"/>
    <s v="Travel_Rarely"/>
    <n v="1358"/>
    <x v="1"/>
    <x v="4"/>
    <n v="1"/>
    <s v="Life Sciences"/>
    <n v="1"/>
    <n v="11"/>
    <n v="4"/>
    <s v="Male"/>
    <n v="67"/>
    <n v="3"/>
    <n v="1"/>
    <x v="2"/>
    <x v="2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  <x v="2"/>
    <x v="1"/>
    <x v="1"/>
  </r>
  <r>
    <n v="38"/>
    <x v="1"/>
    <s v="Travel_Frequently"/>
    <n v="216"/>
    <x v="1"/>
    <x v="5"/>
    <n v="3"/>
    <s v="Life Sciences"/>
    <n v="1"/>
    <n v="12"/>
    <n v="4"/>
    <s v="Male"/>
    <n v="44"/>
    <n v="2"/>
    <n v="3"/>
    <x v="3"/>
    <x v="2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  <x v="0"/>
    <x v="2"/>
    <x v="0"/>
  </r>
  <r>
    <n v="36"/>
    <x v="1"/>
    <s v="Travel_Rarely"/>
    <n v="1299"/>
    <x v="1"/>
    <x v="6"/>
    <n v="3"/>
    <s v="Medical"/>
    <n v="1"/>
    <n v="13"/>
    <n v="3"/>
    <s v="Male"/>
    <n v="94"/>
    <n v="3"/>
    <n v="2"/>
    <x v="4"/>
    <x v="2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  <x v="0"/>
    <x v="0"/>
    <x v="0"/>
  </r>
  <r>
    <n v="35"/>
    <x v="1"/>
    <s v="Travel_Rarely"/>
    <n v="809"/>
    <x v="1"/>
    <x v="7"/>
    <n v="3"/>
    <s v="Medical"/>
    <n v="1"/>
    <n v="14"/>
    <n v="1"/>
    <s v="Male"/>
    <n v="84"/>
    <n v="4"/>
    <n v="1"/>
    <x v="2"/>
    <x v="1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  <x v="2"/>
    <x v="1"/>
    <x v="2"/>
  </r>
  <r>
    <n v="29"/>
    <x v="1"/>
    <s v="Travel_Rarely"/>
    <n v="153"/>
    <x v="1"/>
    <x v="8"/>
    <n v="2"/>
    <s v="Life Sciences"/>
    <n v="1"/>
    <n v="15"/>
    <n v="4"/>
    <s v="Female"/>
    <n v="49"/>
    <n v="2"/>
    <n v="2"/>
    <x v="2"/>
    <x v="2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  <x v="2"/>
    <x v="0"/>
    <x v="0"/>
  </r>
  <r>
    <n v="31"/>
    <x v="1"/>
    <s v="Travel_Rarely"/>
    <n v="670"/>
    <x v="1"/>
    <x v="9"/>
    <n v="1"/>
    <s v="Life Sciences"/>
    <n v="1"/>
    <n v="16"/>
    <n v="1"/>
    <s v="Male"/>
    <n v="31"/>
    <n v="3"/>
    <n v="1"/>
    <x v="1"/>
    <x v="2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  <x v="2"/>
    <x v="1"/>
    <x v="2"/>
  </r>
  <r>
    <n v="34"/>
    <x v="1"/>
    <s v="Travel_Rarely"/>
    <n v="1346"/>
    <x v="1"/>
    <x v="10"/>
    <n v="2"/>
    <s v="Medical"/>
    <n v="1"/>
    <n v="18"/>
    <n v="2"/>
    <s v="Male"/>
    <n v="93"/>
    <n v="3"/>
    <n v="1"/>
    <x v="2"/>
    <x v="0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  <x v="2"/>
    <x v="1"/>
    <x v="1"/>
  </r>
  <r>
    <n v="28"/>
    <x v="0"/>
    <s v="Travel_Rarely"/>
    <n v="103"/>
    <x v="1"/>
    <x v="4"/>
    <n v="3"/>
    <s v="Life Sciences"/>
    <n v="1"/>
    <n v="19"/>
    <n v="3"/>
    <s v="Male"/>
    <n v="50"/>
    <n v="2"/>
    <n v="1"/>
    <x v="2"/>
    <x v="2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  <x v="2"/>
    <x v="1"/>
    <x v="2"/>
  </r>
  <r>
    <n v="29"/>
    <x v="1"/>
    <s v="Travel_Rarely"/>
    <n v="1389"/>
    <x v="1"/>
    <x v="11"/>
    <n v="4"/>
    <s v="Life Sciences"/>
    <n v="1"/>
    <n v="20"/>
    <n v="2"/>
    <s v="Female"/>
    <n v="51"/>
    <n v="4"/>
    <n v="3"/>
    <x v="3"/>
    <x v="3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  <x v="2"/>
    <x v="2"/>
    <x v="0"/>
  </r>
  <r>
    <n v="32"/>
    <x v="1"/>
    <s v="Travel_Rarely"/>
    <n v="334"/>
    <x v="1"/>
    <x v="12"/>
    <n v="2"/>
    <s v="Life Sciences"/>
    <n v="1"/>
    <n v="21"/>
    <n v="1"/>
    <s v="Male"/>
    <n v="80"/>
    <n v="4"/>
    <n v="1"/>
    <x v="1"/>
    <x v="1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  <x v="2"/>
    <x v="0"/>
    <x v="0"/>
  </r>
  <r>
    <n v="22"/>
    <x v="1"/>
    <s v="Non-Travel"/>
    <n v="1123"/>
    <x v="1"/>
    <x v="7"/>
    <n v="2"/>
    <s v="Medical"/>
    <n v="1"/>
    <n v="22"/>
    <n v="4"/>
    <s v="Male"/>
    <n v="96"/>
    <n v="4"/>
    <n v="1"/>
    <x v="2"/>
    <x v="0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  <x v="3"/>
    <x v="1"/>
    <x v="1"/>
  </r>
  <r>
    <n v="53"/>
    <x v="1"/>
    <s v="Travel_Rarely"/>
    <n v="1219"/>
    <x v="0"/>
    <x v="2"/>
    <n v="4"/>
    <s v="Life Sciences"/>
    <n v="1"/>
    <n v="23"/>
    <n v="1"/>
    <s v="Female"/>
    <n v="78"/>
    <n v="2"/>
    <n v="4"/>
    <x v="5"/>
    <x v="0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  <x v="1"/>
    <x v="2"/>
    <x v="3"/>
  </r>
  <r>
    <n v="38"/>
    <x v="1"/>
    <s v="Travel_Rarely"/>
    <n v="371"/>
    <x v="1"/>
    <x v="2"/>
    <n v="3"/>
    <s v="Life Sciences"/>
    <n v="1"/>
    <n v="24"/>
    <n v="4"/>
    <s v="Male"/>
    <n v="45"/>
    <n v="3"/>
    <n v="1"/>
    <x v="1"/>
    <x v="0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  <x v="0"/>
    <x v="0"/>
    <x v="2"/>
  </r>
  <r>
    <n v="24"/>
    <x v="1"/>
    <s v="Non-Travel"/>
    <n v="673"/>
    <x v="1"/>
    <x v="13"/>
    <n v="2"/>
    <s v="Other"/>
    <n v="1"/>
    <n v="26"/>
    <n v="1"/>
    <s v="Female"/>
    <n v="96"/>
    <n v="4"/>
    <n v="2"/>
    <x v="3"/>
    <x v="2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  <x v="3"/>
    <x v="0"/>
    <x v="2"/>
  </r>
  <r>
    <n v="36"/>
    <x v="0"/>
    <s v="Travel_Rarely"/>
    <n v="1218"/>
    <x v="0"/>
    <x v="14"/>
    <n v="4"/>
    <s v="Life Sciences"/>
    <n v="1"/>
    <n v="27"/>
    <n v="3"/>
    <s v="Male"/>
    <n v="82"/>
    <n v="2"/>
    <n v="1"/>
    <x v="6"/>
    <x v="3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  <x v="0"/>
    <x v="0"/>
    <x v="2"/>
  </r>
  <r>
    <n v="34"/>
    <x v="1"/>
    <s v="Travel_Rarely"/>
    <n v="419"/>
    <x v="1"/>
    <x v="15"/>
    <n v="4"/>
    <s v="Life Sciences"/>
    <n v="1"/>
    <n v="28"/>
    <n v="1"/>
    <s v="Female"/>
    <n v="53"/>
    <n v="3"/>
    <n v="3"/>
    <x v="7"/>
    <x v="1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  <x v="2"/>
    <x v="2"/>
    <x v="3"/>
  </r>
  <r>
    <n v="21"/>
    <x v="1"/>
    <s v="Travel_Rarely"/>
    <n v="391"/>
    <x v="1"/>
    <x v="8"/>
    <n v="2"/>
    <s v="Life Sciences"/>
    <n v="1"/>
    <n v="30"/>
    <n v="3"/>
    <s v="Male"/>
    <n v="96"/>
    <n v="3"/>
    <n v="1"/>
    <x v="1"/>
    <x v="0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  <x v="3"/>
    <x v="1"/>
    <x v="1"/>
  </r>
  <r>
    <n v="34"/>
    <x v="0"/>
    <s v="Travel_Rarely"/>
    <n v="699"/>
    <x v="1"/>
    <x v="16"/>
    <n v="1"/>
    <s v="Medical"/>
    <n v="1"/>
    <n v="31"/>
    <n v="2"/>
    <s v="Male"/>
    <n v="83"/>
    <n v="3"/>
    <n v="1"/>
    <x v="1"/>
    <x v="3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  <x v="2"/>
    <x v="1"/>
    <x v="2"/>
  </r>
  <r>
    <n v="53"/>
    <x v="1"/>
    <s v="Travel_Rarely"/>
    <n v="1282"/>
    <x v="1"/>
    <x v="12"/>
    <n v="3"/>
    <s v="Other"/>
    <n v="1"/>
    <n v="32"/>
    <n v="3"/>
    <s v="Female"/>
    <n v="58"/>
    <n v="3"/>
    <n v="5"/>
    <x v="5"/>
    <x v="2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  <x v="1"/>
    <x v="2"/>
    <x v="3"/>
  </r>
  <r>
    <n v="32"/>
    <x v="0"/>
    <s v="Travel_Frequently"/>
    <n v="1125"/>
    <x v="1"/>
    <x v="7"/>
    <n v="1"/>
    <s v="Life Sciences"/>
    <n v="1"/>
    <n v="33"/>
    <n v="2"/>
    <s v="Female"/>
    <n v="72"/>
    <n v="1"/>
    <n v="1"/>
    <x v="1"/>
    <x v="3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  <x v="2"/>
    <x v="0"/>
    <x v="0"/>
  </r>
  <r>
    <n v="42"/>
    <x v="1"/>
    <s v="Travel_Rarely"/>
    <n v="691"/>
    <x v="0"/>
    <x v="1"/>
    <n v="4"/>
    <s v="Marketing"/>
    <n v="1"/>
    <n v="35"/>
    <n v="3"/>
    <s v="Male"/>
    <n v="48"/>
    <n v="3"/>
    <n v="2"/>
    <x v="0"/>
    <x v="1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  <x v="0"/>
    <x v="0"/>
    <x v="0"/>
  </r>
  <r>
    <n v="44"/>
    <x v="1"/>
    <s v="Travel_Rarely"/>
    <n v="477"/>
    <x v="1"/>
    <x v="15"/>
    <n v="4"/>
    <s v="Medical"/>
    <n v="1"/>
    <n v="36"/>
    <n v="1"/>
    <s v="Female"/>
    <n v="42"/>
    <n v="2"/>
    <n v="3"/>
    <x v="4"/>
    <x v="0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  <x v="0"/>
    <x v="2"/>
    <x v="3"/>
  </r>
  <r>
    <n v="46"/>
    <x v="1"/>
    <s v="Travel_Rarely"/>
    <n v="705"/>
    <x v="0"/>
    <x v="2"/>
    <n v="4"/>
    <s v="Marketing"/>
    <n v="1"/>
    <n v="38"/>
    <n v="2"/>
    <s v="Female"/>
    <n v="83"/>
    <n v="3"/>
    <n v="5"/>
    <x v="5"/>
    <x v="3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  <x v="1"/>
    <x v="2"/>
    <x v="1"/>
  </r>
  <r>
    <n v="33"/>
    <x v="1"/>
    <s v="Travel_Rarely"/>
    <n v="924"/>
    <x v="1"/>
    <x v="2"/>
    <n v="3"/>
    <s v="Medical"/>
    <n v="1"/>
    <n v="39"/>
    <n v="3"/>
    <s v="Male"/>
    <n v="78"/>
    <n v="3"/>
    <n v="1"/>
    <x v="2"/>
    <x v="0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  <x v="2"/>
    <x v="1"/>
    <x v="1"/>
  </r>
  <r>
    <n v="44"/>
    <x v="1"/>
    <s v="Travel_Rarely"/>
    <n v="1459"/>
    <x v="1"/>
    <x v="17"/>
    <n v="4"/>
    <s v="Other"/>
    <n v="1"/>
    <n v="40"/>
    <n v="4"/>
    <s v="Male"/>
    <n v="41"/>
    <n v="3"/>
    <n v="2"/>
    <x v="4"/>
    <x v="0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  <x v="0"/>
    <x v="0"/>
    <x v="2"/>
  </r>
  <r>
    <n v="30"/>
    <x v="1"/>
    <s v="Travel_Rarely"/>
    <n v="125"/>
    <x v="1"/>
    <x v="14"/>
    <n v="2"/>
    <s v="Medical"/>
    <n v="1"/>
    <n v="41"/>
    <n v="4"/>
    <s v="Male"/>
    <n v="83"/>
    <n v="2"/>
    <n v="1"/>
    <x v="2"/>
    <x v="2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  <x v="2"/>
    <x v="1"/>
    <x v="0"/>
  </r>
  <r>
    <n v="39"/>
    <x v="0"/>
    <s v="Travel_Rarely"/>
    <n v="895"/>
    <x v="0"/>
    <x v="12"/>
    <n v="3"/>
    <s v="Technical Degree"/>
    <n v="1"/>
    <n v="42"/>
    <n v="4"/>
    <s v="Male"/>
    <n v="56"/>
    <n v="3"/>
    <n v="2"/>
    <x v="6"/>
    <x v="0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  <x v="0"/>
    <x v="1"/>
    <x v="1"/>
  </r>
  <r>
    <n v="24"/>
    <x v="0"/>
    <s v="Travel_Rarely"/>
    <n v="813"/>
    <x v="1"/>
    <x v="0"/>
    <n v="3"/>
    <s v="Medical"/>
    <n v="1"/>
    <n v="45"/>
    <n v="2"/>
    <s v="Male"/>
    <n v="61"/>
    <n v="3"/>
    <n v="1"/>
    <x v="1"/>
    <x v="0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  <x v="3"/>
    <x v="1"/>
    <x v="1"/>
  </r>
  <r>
    <n v="43"/>
    <x v="1"/>
    <s v="Travel_Rarely"/>
    <n v="1273"/>
    <x v="1"/>
    <x v="2"/>
    <n v="2"/>
    <s v="Medical"/>
    <n v="1"/>
    <n v="46"/>
    <n v="4"/>
    <s v="Female"/>
    <n v="72"/>
    <n v="4"/>
    <n v="1"/>
    <x v="1"/>
    <x v="2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  <x v="0"/>
    <x v="1"/>
    <x v="2"/>
  </r>
  <r>
    <n v="50"/>
    <x v="0"/>
    <s v="Travel_Rarely"/>
    <n v="869"/>
    <x v="0"/>
    <x v="3"/>
    <n v="2"/>
    <s v="Marketing"/>
    <n v="1"/>
    <n v="47"/>
    <n v="1"/>
    <s v="Male"/>
    <n v="86"/>
    <n v="2"/>
    <n v="1"/>
    <x v="6"/>
    <x v="2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  <x v="1"/>
    <x v="1"/>
    <x v="2"/>
  </r>
  <r>
    <n v="35"/>
    <x v="1"/>
    <s v="Travel_Rarely"/>
    <n v="890"/>
    <x v="0"/>
    <x v="2"/>
    <n v="3"/>
    <s v="Marketing"/>
    <n v="1"/>
    <n v="49"/>
    <n v="4"/>
    <s v="Female"/>
    <n v="97"/>
    <n v="3"/>
    <n v="1"/>
    <x v="6"/>
    <x v="0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  <x v="2"/>
    <x v="1"/>
    <x v="1"/>
  </r>
  <r>
    <n v="36"/>
    <x v="1"/>
    <s v="Travel_Rarely"/>
    <n v="852"/>
    <x v="1"/>
    <x v="12"/>
    <n v="4"/>
    <s v="Life Sciences"/>
    <n v="1"/>
    <n v="51"/>
    <n v="2"/>
    <s v="Female"/>
    <n v="82"/>
    <n v="2"/>
    <n v="1"/>
    <x v="1"/>
    <x v="3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  <x v="0"/>
    <x v="0"/>
    <x v="1"/>
  </r>
  <r>
    <n v="33"/>
    <x v="1"/>
    <s v="Travel_Frequently"/>
    <n v="1141"/>
    <x v="0"/>
    <x v="0"/>
    <n v="3"/>
    <s v="Life Sciences"/>
    <n v="1"/>
    <n v="52"/>
    <n v="3"/>
    <s v="Female"/>
    <n v="42"/>
    <n v="4"/>
    <n v="2"/>
    <x v="0"/>
    <x v="3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  <x v="2"/>
    <x v="0"/>
    <x v="2"/>
  </r>
  <r>
    <n v="35"/>
    <x v="1"/>
    <s v="Travel_Rarely"/>
    <n v="464"/>
    <x v="1"/>
    <x v="18"/>
    <n v="2"/>
    <s v="Other"/>
    <n v="1"/>
    <n v="53"/>
    <n v="3"/>
    <s v="Male"/>
    <n v="75"/>
    <n v="3"/>
    <n v="1"/>
    <x v="2"/>
    <x v="0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  <x v="2"/>
    <x v="1"/>
    <x v="1"/>
  </r>
  <r>
    <n v="27"/>
    <x v="1"/>
    <s v="Travel_Rarely"/>
    <n v="1240"/>
    <x v="1"/>
    <x v="2"/>
    <n v="4"/>
    <s v="Life Sciences"/>
    <n v="1"/>
    <n v="54"/>
    <n v="4"/>
    <s v="Female"/>
    <n v="33"/>
    <n v="3"/>
    <n v="1"/>
    <x v="2"/>
    <x v="3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  <x v="2"/>
    <x v="1"/>
    <x v="1"/>
  </r>
  <r>
    <n v="26"/>
    <x v="0"/>
    <s v="Travel_Rarely"/>
    <n v="1357"/>
    <x v="1"/>
    <x v="19"/>
    <n v="3"/>
    <s v="Life Sciences"/>
    <n v="1"/>
    <n v="55"/>
    <n v="1"/>
    <s v="Male"/>
    <n v="48"/>
    <n v="1"/>
    <n v="1"/>
    <x v="2"/>
    <x v="2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  <x v="2"/>
    <x v="1"/>
    <x v="1"/>
  </r>
  <r>
    <n v="27"/>
    <x v="1"/>
    <s v="Travel_Frequently"/>
    <n v="994"/>
    <x v="0"/>
    <x v="1"/>
    <n v="3"/>
    <s v="Life Sciences"/>
    <n v="1"/>
    <n v="56"/>
    <n v="4"/>
    <s v="Male"/>
    <n v="37"/>
    <n v="3"/>
    <n v="3"/>
    <x v="0"/>
    <x v="2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  <x v="2"/>
    <x v="2"/>
    <x v="0"/>
  </r>
  <r>
    <n v="30"/>
    <x v="1"/>
    <s v="Travel_Frequently"/>
    <n v="721"/>
    <x v="1"/>
    <x v="0"/>
    <n v="2"/>
    <s v="Medical"/>
    <n v="1"/>
    <n v="57"/>
    <n v="3"/>
    <s v="Female"/>
    <n v="58"/>
    <n v="3"/>
    <n v="2"/>
    <x v="2"/>
    <x v="0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  <x v="2"/>
    <x v="0"/>
    <x v="3"/>
  </r>
  <r>
    <n v="41"/>
    <x v="0"/>
    <s v="Travel_Rarely"/>
    <n v="1360"/>
    <x v="1"/>
    <x v="20"/>
    <n v="3"/>
    <s v="Technical Degree"/>
    <n v="1"/>
    <n v="58"/>
    <n v="2"/>
    <s v="Female"/>
    <n v="49"/>
    <n v="3"/>
    <n v="5"/>
    <x v="7"/>
    <x v="2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  <x v="0"/>
    <x v="2"/>
    <x v="3"/>
  </r>
  <r>
    <n v="34"/>
    <x v="1"/>
    <s v="Non-Travel"/>
    <n v="1065"/>
    <x v="0"/>
    <x v="5"/>
    <n v="4"/>
    <s v="Marketing"/>
    <n v="1"/>
    <n v="60"/>
    <n v="2"/>
    <s v="Male"/>
    <n v="72"/>
    <n v="3"/>
    <n v="2"/>
    <x v="0"/>
    <x v="2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  <x v="2"/>
    <x v="0"/>
    <x v="0"/>
  </r>
  <r>
    <n v="37"/>
    <x v="1"/>
    <s v="Travel_Rarely"/>
    <n v="408"/>
    <x v="1"/>
    <x v="10"/>
    <n v="2"/>
    <s v="Life Sciences"/>
    <n v="1"/>
    <n v="61"/>
    <n v="2"/>
    <s v="Male"/>
    <n v="73"/>
    <n v="3"/>
    <n v="1"/>
    <x v="1"/>
    <x v="1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  <x v="0"/>
    <x v="0"/>
    <x v="1"/>
  </r>
  <r>
    <n v="46"/>
    <x v="1"/>
    <s v="Travel_Frequently"/>
    <n v="1211"/>
    <x v="0"/>
    <x v="12"/>
    <n v="4"/>
    <s v="Marketing"/>
    <n v="1"/>
    <n v="62"/>
    <n v="1"/>
    <s v="Male"/>
    <n v="98"/>
    <n v="3"/>
    <n v="2"/>
    <x v="0"/>
    <x v="0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  <x v="1"/>
    <x v="0"/>
    <x v="0"/>
  </r>
  <r>
    <n v="35"/>
    <x v="1"/>
    <s v="Travel_Rarely"/>
    <n v="1229"/>
    <x v="1"/>
    <x v="1"/>
    <n v="1"/>
    <s v="Life Sciences"/>
    <n v="1"/>
    <n v="63"/>
    <n v="4"/>
    <s v="Male"/>
    <n v="36"/>
    <n v="4"/>
    <n v="1"/>
    <x v="2"/>
    <x v="0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  <x v="2"/>
    <x v="1"/>
    <x v="1"/>
  </r>
  <r>
    <n v="48"/>
    <x v="0"/>
    <s v="Travel_Rarely"/>
    <n v="626"/>
    <x v="1"/>
    <x v="0"/>
    <n v="2"/>
    <s v="Life Sciences"/>
    <n v="1"/>
    <n v="64"/>
    <n v="1"/>
    <s v="Male"/>
    <n v="98"/>
    <n v="2"/>
    <n v="3"/>
    <x v="2"/>
    <x v="2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  <x v="1"/>
    <x v="0"/>
    <x v="1"/>
  </r>
  <r>
    <n v="28"/>
    <x v="0"/>
    <s v="Travel_Rarely"/>
    <n v="1434"/>
    <x v="1"/>
    <x v="12"/>
    <n v="4"/>
    <s v="Technical Degree"/>
    <n v="1"/>
    <n v="65"/>
    <n v="3"/>
    <s v="Male"/>
    <n v="50"/>
    <n v="3"/>
    <n v="1"/>
    <x v="2"/>
    <x v="2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  <x v="2"/>
    <x v="0"/>
    <x v="1"/>
  </r>
  <r>
    <n v="44"/>
    <x v="1"/>
    <s v="Travel_Rarely"/>
    <n v="1488"/>
    <x v="0"/>
    <x v="0"/>
    <n v="5"/>
    <s v="Marketing"/>
    <n v="1"/>
    <n v="68"/>
    <n v="2"/>
    <s v="Female"/>
    <n v="75"/>
    <n v="3"/>
    <n v="2"/>
    <x v="0"/>
    <x v="3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  <x v="0"/>
    <x v="0"/>
    <x v="2"/>
  </r>
  <r>
    <n v="35"/>
    <x v="1"/>
    <s v="Non-Travel"/>
    <n v="1097"/>
    <x v="1"/>
    <x v="13"/>
    <n v="2"/>
    <s v="Medical"/>
    <n v="1"/>
    <n v="70"/>
    <n v="3"/>
    <s v="Male"/>
    <n v="79"/>
    <n v="2"/>
    <n v="3"/>
    <x v="4"/>
    <x v="3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  <x v="2"/>
    <x v="2"/>
    <x v="2"/>
  </r>
  <r>
    <n v="26"/>
    <x v="1"/>
    <s v="Travel_Rarely"/>
    <n v="1443"/>
    <x v="0"/>
    <x v="5"/>
    <n v="3"/>
    <s v="Marketing"/>
    <n v="1"/>
    <n v="72"/>
    <n v="3"/>
    <s v="Female"/>
    <n v="47"/>
    <n v="2"/>
    <n v="2"/>
    <x v="0"/>
    <x v="0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  <x v="2"/>
    <x v="0"/>
    <x v="1"/>
  </r>
  <r>
    <n v="33"/>
    <x v="1"/>
    <s v="Travel_Frequently"/>
    <n v="515"/>
    <x v="1"/>
    <x v="0"/>
    <n v="2"/>
    <s v="Life Sciences"/>
    <n v="1"/>
    <n v="73"/>
    <n v="1"/>
    <s v="Female"/>
    <n v="98"/>
    <n v="3"/>
    <n v="3"/>
    <x v="7"/>
    <x v="0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  <x v="2"/>
    <x v="2"/>
    <x v="3"/>
  </r>
  <r>
    <n v="35"/>
    <x v="1"/>
    <s v="Travel_Frequently"/>
    <n v="853"/>
    <x v="0"/>
    <x v="21"/>
    <n v="5"/>
    <s v="Life Sciences"/>
    <n v="1"/>
    <n v="74"/>
    <n v="2"/>
    <s v="Male"/>
    <n v="71"/>
    <n v="3"/>
    <n v="3"/>
    <x v="0"/>
    <x v="3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  <x v="2"/>
    <x v="2"/>
    <x v="0"/>
  </r>
  <r>
    <n v="35"/>
    <x v="1"/>
    <s v="Travel_Rarely"/>
    <n v="1142"/>
    <x v="1"/>
    <x v="5"/>
    <n v="4"/>
    <s v="Medical"/>
    <n v="1"/>
    <n v="75"/>
    <n v="3"/>
    <s v="Female"/>
    <n v="30"/>
    <n v="3"/>
    <n v="1"/>
    <x v="2"/>
    <x v="3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  <x v="2"/>
    <x v="0"/>
    <x v="1"/>
  </r>
  <r>
    <n v="31"/>
    <x v="1"/>
    <s v="Travel_Rarely"/>
    <n v="655"/>
    <x v="1"/>
    <x v="15"/>
    <n v="4"/>
    <s v="Life Sciences"/>
    <n v="1"/>
    <n v="76"/>
    <n v="4"/>
    <s v="Male"/>
    <n v="48"/>
    <n v="3"/>
    <n v="2"/>
    <x v="2"/>
    <x v="0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  <x v="2"/>
    <x v="0"/>
    <x v="0"/>
  </r>
  <r>
    <n v="37"/>
    <x v="1"/>
    <s v="Travel_Rarely"/>
    <n v="1115"/>
    <x v="1"/>
    <x v="0"/>
    <n v="4"/>
    <s v="Life Sciences"/>
    <n v="1"/>
    <n v="77"/>
    <n v="1"/>
    <s v="Male"/>
    <n v="51"/>
    <n v="2"/>
    <n v="2"/>
    <x v="3"/>
    <x v="2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  <x v="0"/>
    <x v="0"/>
    <x v="0"/>
  </r>
  <r>
    <n v="32"/>
    <x v="1"/>
    <s v="Travel_Rarely"/>
    <n v="427"/>
    <x v="1"/>
    <x v="0"/>
    <n v="3"/>
    <s v="Medical"/>
    <n v="1"/>
    <n v="78"/>
    <n v="1"/>
    <s v="Male"/>
    <n v="33"/>
    <n v="3"/>
    <n v="2"/>
    <x v="3"/>
    <x v="0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  <x v="2"/>
    <x v="0"/>
    <x v="0"/>
  </r>
  <r>
    <n v="38"/>
    <x v="1"/>
    <s v="Travel_Frequently"/>
    <n v="653"/>
    <x v="1"/>
    <x v="22"/>
    <n v="5"/>
    <s v="Life Sciences"/>
    <n v="1"/>
    <n v="79"/>
    <n v="4"/>
    <s v="Female"/>
    <n v="50"/>
    <n v="3"/>
    <n v="2"/>
    <x v="2"/>
    <x v="0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  <x v="0"/>
    <x v="1"/>
    <x v="0"/>
  </r>
  <r>
    <n v="50"/>
    <x v="1"/>
    <s v="Travel_Rarely"/>
    <n v="989"/>
    <x v="1"/>
    <x v="15"/>
    <n v="2"/>
    <s v="Medical"/>
    <n v="1"/>
    <n v="80"/>
    <n v="2"/>
    <s v="Female"/>
    <n v="43"/>
    <n v="2"/>
    <n v="5"/>
    <x v="7"/>
    <x v="2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  <x v="1"/>
    <x v="2"/>
    <x v="3"/>
  </r>
  <r>
    <n v="59"/>
    <x v="1"/>
    <s v="Travel_Rarely"/>
    <n v="1435"/>
    <x v="0"/>
    <x v="19"/>
    <n v="3"/>
    <s v="Life Sciences"/>
    <n v="1"/>
    <n v="81"/>
    <n v="1"/>
    <s v="Female"/>
    <n v="99"/>
    <n v="3"/>
    <n v="3"/>
    <x v="0"/>
    <x v="3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  <x v="1"/>
    <x v="2"/>
    <x v="3"/>
  </r>
  <r>
    <n v="36"/>
    <x v="1"/>
    <s v="Travel_Rarely"/>
    <n v="1223"/>
    <x v="1"/>
    <x v="1"/>
    <n v="3"/>
    <s v="Technical Degree"/>
    <n v="1"/>
    <n v="83"/>
    <n v="3"/>
    <s v="Female"/>
    <n v="59"/>
    <n v="3"/>
    <n v="3"/>
    <x v="4"/>
    <x v="2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  <x v="0"/>
    <x v="2"/>
    <x v="3"/>
  </r>
  <r>
    <n v="55"/>
    <x v="1"/>
    <s v="Travel_Rarely"/>
    <n v="836"/>
    <x v="1"/>
    <x v="1"/>
    <n v="3"/>
    <s v="Medical"/>
    <n v="1"/>
    <n v="84"/>
    <n v="4"/>
    <s v="Female"/>
    <n v="33"/>
    <n v="3"/>
    <n v="4"/>
    <x v="5"/>
    <x v="2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  <x v="1"/>
    <x v="2"/>
    <x v="2"/>
  </r>
  <r>
    <n v="36"/>
    <x v="1"/>
    <s v="Travel_Frequently"/>
    <n v="1195"/>
    <x v="1"/>
    <x v="13"/>
    <n v="3"/>
    <s v="Life Sciences"/>
    <n v="1"/>
    <n v="85"/>
    <n v="2"/>
    <s v="Male"/>
    <n v="95"/>
    <n v="2"/>
    <n v="2"/>
    <x v="3"/>
    <x v="1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  <x v="0"/>
    <x v="0"/>
    <x v="0"/>
  </r>
  <r>
    <n v="45"/>
    <x v="1"/>
    <s v="Travel_Rarely"/>
    <n v="1339"/>
    <x v="1"/>
    <x v="15"/>
    <n v="3"/>
    <s v="Life Sciences"/>
    <n v="1"/>
    <n v="86"/>
    <n v="2"/>
    <s v="Male"/>
    <n v="59"/>
    <n v="3"/>
    <n v="3"/>
    <x v="1"/>
    <x v="3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  <x v="0"/>
    <x v="2"/>
    <x v="1"/>
  </r>
  <r>
    <n v="35"/>
    <x v="1"/>
    <s v="Travel_Frequently"/>
    <n v="664"/>
    <x v="1"/>
    <x v="0"/>
    <n v="3"/>
    <s v="Medical"/>
    <n v="1"/>
    <n v="88"/>
    <n v="2"/>
    <s v="Male"/>
    <n v="79"/>
    <n v="3"/>
    <n v="1"/>
    <x v="1"/>
    <x v="3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  <x v="2"/>
    <x v="1"/>
    <x v="2"/>
  </r>
  <r>
    <n v="36"/>
    <x v="0"/>
    <s v="Travel_Rarely"/>
    <n v="318"/>
    <x v="1"/>
    <x v="14"/>
    <n v="3"/>
    <s v="Medical"/>
    <n v="1"/>
    <n v="90"/>
    <n v="4"/>
    <s v="Male"/>
    <n v="79"/>
    <n v="2"/>
    <n v="1"/>
    <x v="1"/>
    <x v="2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  <x v="0"/>
    <x v="0"/>
    <x v="1"/>
  </r>
  <r>
    <n v="59"/>
    <x v="1"/>
    <s v="Travel_Frequently"/>
    <n v="1225"/>
    <x v="0"/>
    <x v="0"/>
    <n v="1"/>
    <s v="Life Sciences"/>
    <n v="1"/>
    <n v="91"/>
    <n v="1"/>
    <s v="Female"/>
    <n v="57"/>
    <n v="2"/>
    <n v="2"/>
    <x v="0"/>
    <x v="2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  <x v="1"/>
    <x v="0"/>
    <x v="2"/>
  </r>
  <r>
    <n v="29"/>
    <x v="1"/>
    <s v="Travel_Rarely"/>
    <n v="1328"/>
    <x v="1"/>
    <x v="2"/>
    <n v="3"/>
    <s v="Life Sciences"/>
    <n v="1"/>
    <n v="94"/>
    <n v="3"/>
    <s v="Male"/>
    <n v="76"/>
    <n v="3"/>
    <n v="1"/>
    <x v="1"/>
    <x v="1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  <x v="2"/>
    <x v="1"/>
    <x v="2"/>
  </r>
  <r>
    <n v="31"/>
    <x v="1"/>
    <s v="Travel_Rarely"/>
    <n v="1082"/>
    <x v="1"/>
    <x v="0"/>
    <n v="4"/>
    <s v="Medical"/>
    <n v="1"/>
    <n v="95"/>
    <n v="3"/>
    <s v="Male"/>
    <n v="87"/>
    <n v="3"/>
    <n v="1"/>
    <x v="1"/>
    <x v="1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  <x v="2"/>
    <x v="1"/>
    <x v="1"/>
  </r>
  <r>
    <n v="32"/>
    <x v="1"/>
    <s v="Travel_Rarely"/>
    <n v="548"/>
    <x v="1"/>
    <x v="0"/>
    <n v="3"/>
    <s v="Life Sciences"/>
    <n v="1"/>
    <n v="96"/>
    <n v="2"/>
    <s v="Male"/>
    <n v="66"/>
    <n v="3"/>
    <n v="2"/>
    <x v="1"/>
    <x v="1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  <x v="2"/>
    <x v="0"/>
    <x v="0"/>
  </r>
  <r>
    <n v="36"/>
    <x v="1"/>
    <s v="Travel_Rarely"/>
    <n v="132"/>
    <x v="1"/>
    <x v="16"/>
    <n v="3"/>
    <s v="Life Sciences"/>
    <n v="1"/>
    <n v="97"/>
    <n v="2"/>
    <s v="Female"/>
    <n v="55"/>
    <n v="4"/>
    <n v="1"/>
    <x v="2"/>
    <x v="0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  <x v="0"/>
    <x v="0"/>
    <x v="1"/>
  </r>
  <r>
    <n v="31"/>
    <x v="1"/>
    <s v="Travel_Rarely"/>
    <n v="746"/>
    <x v="1"/>
    <x v="1"/>
    <n v="4"/>
    <s v="Life Sciences"/>
    <n v="1"/>
    <n v="98"/>
    <n v="3"/>
    <s v="Female"/>
    <n v="61"/>
    <n v="3"/>
    <n v="2"/>
    <x v="3"/>
    <x v="0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  <x v="2"/>
    <x v="0"/>
    <x v="3"/>
  </r>
  <r>
    <n v="35"/>
    <x v="1"/>
    <s v="Travel_Rarely"/>
    <n v="776"/>
    <x v="0"/>
    <x v="0"/>
    <n v="4"/>
    <s v="Marketing"/>
    <n v="1"/>
    <n v="100"/>
    <n v="3"/>
    <s v="Male"/>
    <n v="32"/>
    <n v="2"/>
    <n v="2"/>
    <x v="0"/>
    <x v="3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  <x v="2"/>
    <x v="0"/>
    <x v="3"/>
  </r>
  <r>
    <n v="45"/>
    <x v="1"/>
    <s v="Travel_Rarely"/>
    <n v="193"/>
    <x v="1"/>
    <x v="16"/>
    <n v="4"/>
    <s v="Other"/>
    <n v="1"/>
    <n v="101"/>
    <n v="4"/>
    <s v="Male"/>
    <n v="52"/>
    <n v="3"/>
    <n v="3"/>
    <x v="7"/>
    <x v="3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  <x v="0"/>
    <x v="2"/>
    <x v="1"/>
  </r>
  <r>
    <n v="37"/>
    <x v="1"/>
    <s v="Travel_Rarely"/>
    <n v="397"/>
    <x v="1"/>
    <x v="15"/>
    <n v="4"/>
    <s v="Medical"/>
    <n v="1"/>
    <n v="102"/>
    <n v="1"/>
    <s v="Male"/>
    <n v="30"/>
    <n v="3"/>
    <n v="3"/>
    <x v="7"/>
    <x v="2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  <x v="0"/>
    <x v="2"/>
    <x v="2"/>
  </r>
  <r>
    <n v="46"/>
    <x v="1"/>
    <s v="Travel_Rarely"/>
    <n v="945"/>
    <x v="2"/>
    <x v="12"/>
    <n v="2"/>
    <s v="Medical"/>
    <n v="1"/>
    <n v="103"/>
    <n v="2"/>
    <s v="Male"/>
    <n v="80"/>
    <n v="3"/>
    <n v="2"/>
    <x v="8"/>
    <x v="1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  <x v="1"/>
    <x v="0"/>
    <x v="2"/>
  </r>
  <r>
    <n v="30"/>
    <x v="1"/>
    <s v="Travel_Rarely"/>
    <n v="852"/>
    <x v="1"/>
    <x v="0"/>
    <n v="1"/>
    <s v="Life Sciences"/>
    <n v="1"/>
    <n v="104"/>
    <n v="4"/>
    <s v="Male"/>
    <n v="55"/>
    <n v="2"/>
    <n v="2"/>
    <x v="2"/>
    <x v="0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  <x v="2"/>
    <x v="0"/>
    <x v="0"/>
  </r>
  <r>
    <n v="35"/>
    <x v="1"/>
    <s v="Travel_Rarely"/>
    <n v="1214"/>
    <x v="1"/>
    <x v="0"/>
    <n v="3"/>
    <s v="Medical"/>
    <n v="1"/>
    <n v="105"/>
    <n v="2"/>
    <s v="Male"/>
    <n v="30"/>
    <n v="2"/>
    <n v="1"/>
    <x v="1"/>
    <x v="2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  <x v="2"/>
    <x v="1"/>
    <x v="0"/>
  </r>
  <r>
    <n v="55"/>
    <x v="1"/>
    <s v="Travel_Rarely"/>
    <n v="111"/>
    <x v="0"/>
    <x v="0"/>
    <n v="2"/>
    <s v="Life Sciences"/>
    <n v="1"/>
    <n v="106"/>
    <n v="1"/>
    <s v="Male"/>
    <n v="70"/>
    <n v="3"/>
    <n v="3"/>
    <x v="0"/>
    <x v="0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  <x v="1"/>
    <x v="2"/>
    <x v="1"/>
  </r>
  <r>
    <n v="38"/>
    <x v="1"/>
    <s v="Non-Travel"/>
    <n v="573"/>
    <x v="1"/>
    <x v="16"/>
    <n v="3"/>
    <s v="Medical"/>
    <n v="1"/>
    <n v="107"/>
    <n v="2"/>
    <s v="Female"/>
    <n v="79"/>
    <n v="1"/>
    <n v="2"/>
    <x v="1"/>
    <x v="0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  <x v="0"/>
    <x v="0"/>
    <x v="3"/>
  </r>
  <r>
    <n v="34"/>
    <x v="1"/>
    <s v="Travel_Rarely"/>
    <n v="1153"/>
    <x v="1"/>
    <x v="0"/>
    <n v="2"/>
    <s v="Medical"/>
    <n v="1"/>
    <n v="110"/>
    <n v="1"/>
    <s v="Male"/>
    <n v="94"/>
    <n v="3"/>
    <n v="2"/>
    <x v="3"/>
    <x v="1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  <x v="2"/>
    <x v="0"/>
    <x v="2"/>
  </r>
  <r>
    <n v="56"/>
    <x v="1"/>
    <s v="Travel_Rarely"/>
    <n v="1400"/>
    <x v="1"/>
    <x v="15"/>
    <n v="3"/>
    <s v="Life Sciences"/>
    <n v="1"/>
    <n v="112"/>
    <n v="4"/>
    <s v="Male"/>
    <n v="49"/>
    <n v="1"/>
    <n v="3"/>
    <x v="3"/>
    <x v="0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  <x v="1"/>
    <x v="2"/>
    <x v="0"/>
  </r>
  <r>
    <n v="23"/>
    <x v="1"/>
    <s v="Travel_Rarely"/>
    <n v="541"/>
    <x v="0"/>
    <x v="2"/>
    <n v="1"/>
    <s v="Technical Degree"/>
    <n v="1"/>
    <n v="113"/>
    <n v="3"/>
    <s v="Male"/>
    <n v="62"/>
    <n v="3"/>
    <n v="1"/>
    <x v="6"/>
    <x v="3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  <x v="3"/>
    <x v="1"/>
    <x v="1"/>
  </r>
  <r>
    <n v="51"/>
    <x v="1"/>
    <s v="Travel_Rarely"/>
    <n v="432"/>
    <x v="1"/>
    <x v="14"/>
    <n v="4"/>
    <s v="Life Sciences"/>
    <n v="1"/>
    <n v="116"/>
    <n v="4"/>
    <s v="Male"/>
    <n v="96"/>
    <n v="3"/>
    <n v="1"/>
    <x v="2"/>
    <x v="0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  <x v="1"/>
    <x v="1"/>
    <x v="2"/>
  </r>
  <r>
    <n v="30"/>
    <x v="1"/>
    <s v="Travel_Rarely"/>
    <n v="288"/>
    <x v="1"/>
    <x v="2"/>
    <n v="3"/>
    <s v="Life Sciences"/>
    <n v="1"/>
    <n v="117"/>
    <n v="3"/>
    <s v="Male"/>
    <n v="99"/>
    <n v="2"/>
    <n v="2"/>
    <x v="4"/>
    <x v="0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  <x v="2"/>
    <x v="0"/>
    <x v="3"/>
  </r>
  <r>
    <n v="46"/>
    <x v="0"/>
    <s v="Travel_Rarely"/>
    <n v="669"/>
    <x v="0"/>
    <x v="14"/>
    <n v="2"/>
    <s v="Medical"/>
    <n v="1"/>
    <n v="118"/>
    <n v="3"/>
    <s v="Male"/>
    <n v="64"/>
    <n v="2"/>
    <n v="3"/>
    <x v="0"/>
    <x v="0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  <x v="1"/>
    <x v="2"/>
    <x v="0"/>
  </r>
  <r>
    <n v="40"/>
    <x v="1"/>
    <s v="Travel_Frequently"/>
    <n v="530"/>
    <x v="1"/>
    <x v="0"/>
    <n v="4"/>
    <s v="Life Sciences"/>
    <n v="1"/>
    <n v="119"/>
    <n v="3"/>
    <s v="Male"/>
    <n v="78"/>
    <n v="2"/>
    <n v="4"/>
    <x v="4"/>
    <x v="1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  <x v="0"/>
    <x v="2"/>
    <x v="3"/>
  </r>
  <r>
    <n v="51"/>
    <x v="1"/>
    <s v="Travel_Rarely"/>
    <n v="632"/>
    <x v="0"/>
    <x v="11"/>
    <n v="4"/>
    <s v="Marketing"/>
    <n v="1"/>
    <n v="120"/>
    <n v="3"/>
    <s v="Male"/>
    <n v="71"/>
    <n v="3"/>
    <n v="2"/>
    <x v="0"/>
    <x v="0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  <x v="1"/>
    <x v="0"/>
    <x v="0"/>
  </r>
  <r>
    <n v="30"/>
    <x v="1"/>
    <s v="Travel_Rarely"/>
    <n v="1334"/>
    <x v="0"/>
    <x v="18"/>
    <n v="2"/>
    <s v="Medical"/>
    <n v="1"/>
    <n v="121"/>
    <n v="3"/>
    <s v="Female"/>
    <n v="63"/>
    <n v="2"/>
    <n v="2"/>
    <x v="0"/>
    <x v="1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  <x v="2"/>
    <x v="0"/>
    <x v="3"/>
  </r>
  <r>
    <n v="46"/>
    <x v="1"/>
    <s v="Travel_Frequently"/>
    <n v="638"/>
    <x v="1"/>
    <x v="0"/>
    <n v="3"/>
    <s v="Medical"/>
    <n v="1"/>
    <n v="124"/>
    <n v="3"/>
    <s v="Male"/>
    <n v="40"/>
    <n v="2"/>
    <n v="3"/>
    <x v="4"/>
    <x v="3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  <x v="1"/>
    <x v="2"/>
    <x v="0"/>
  </r>
  <r>
    <n v="32"/>
    <x v="1"/>
    <s v="Travel_Rarely"/>
    <n v="1093"/>
    <x v="0"/>
    <x v="16"/>
    <n v="4"/>
    <s v="Medical"/>
    <n v="1"/>
    <n v="125"/>
    <n v="2"/>
    <s v="Male"/>
    <n v="87"/>
    <n v="3"/>
    <n v="2"/>
    <x v="0"/>
    <x v="2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  <x v="2"/>
    <x v="0"/>
    <x v="3"/>
  </r>
  <r>
    <n v="54"/>
    <x v="1"/>
    <s v="Travel_Rarely"/>
    <n v="1217"/>
    <x v="1"/>
    <x v="2"/>
    <n v="4"/>
    <s v="Technical Degree"/>
    <n v="1"/>
    <n v="126"/>
    <n v="1"/>
    <s v="Female"/>
    <n v="60"/>
    <n v="3"/>
    <n v="3"/>
    <x v="7"/>
    <x v="2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  <x v="1"/>
    <x v="2"/>
    <x v="2"/>
  </r>
  <r>
    <n v="24"/>
    <x v="1"/>
    <s v="Travel_Rarely"/>
    <n v="1353"/>
    <x v="0"/>
    <x v="3"/>
    <n v="2"/>
    <s v="Other"/>
    <n v="1"/>
    <n v="128"/>
    <n v="1"/>
    <s v="Female"/>
    <n v="33"/>
    <n v="3"/>
    <n v="2"/>
    <x v="0"/>
    <x v="2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  <x v="3"/>
    <x v="0"/>
    <x v="2"/>
  </r>
  <r>
    <n v="28"/>
    <x v="1"/>
    <s v="Non-Travel"/>
    <n v="120"/>
    <x v="0"/>
    <x v="18"/>
    <n v="3"/>
    <s v="Medical"/>
    <n v="1"/>
    <n v="129"/>
    <n v="2"/>
    <s v="Male"/>
    <n v="43"/>
    <n v="3"/>
    <n v="2"/>
    <x v="0"/>
    <x v="2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  <x v="2"/>
    <x v="0"/>
    <x v="2"/>
  </r>
  <r>
    <n v="58"/>
    <x v="1"/>
    <s v="Travel_Rarely"/>
    <n v="682"/>
    <x v="0"/>
    <x v="17"/>
    <n v="4"/>
    <s v="Medical"/>
    <n v="1"/>
    <n v="131"/>
    <n v="4"/>
    <s v="Male"/>
    <n v="37"/>
    <n v="3"/>
    <n v="4"/>
    <x v="0"/>
    <x v="2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  <x v="1"/>
    <x v="2"/>
    <x v="3"/>
  </r>
  <r>
    <n v="44"/>
    <x v="1"/>
    <s v="Non-Travel"/>
    <n v="489"/>
    <x v="1"/>
    <x v="5"/>
    <n v="3"/>
    <s v="Medical"/>
    <n v="1"/>
    <n v="132"/>
    <n v="2"/>
    <s v="Male"/>
    <n v="67"/>
    <n v="3"/>
    <n v="2"/>
    <x v="2"/>
    <x v="1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  <x v="0"/>
    <x v="1"/>
    <x v="2"/>
  </r>
  <r>
    <n v="37"/>
    <x v="0"/>
    <s v="Travel_Rarely"/>
    <n v="807"/>
    <x v="2"/>
    <x v="16"/>
    <n v="4"/>
    <s v="Human Resources"/>
    <n v="1"/>
    <n v="133"/>
    <n v="3"/>
    <s v="Male"/>
    <n v="63"/>
    <n v="3"/>
    <n v="1"/>
    <x v="8"/>
    <x v="3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  <x v="0"/>
    <x v="1"/>
    <x v="2"/>
  </r>
  <r>
    <n v="32"/>
    <x v="1"/>
    <s v="Travel_Rarely"/>
    <n v="827"/>
    <x v="1"/>
    <x v="0"/>
    <n v="1"/>
    <s v="Life Sciences"/>
    <n v="1"/>
    <n v="134"/>
    <n v="4"/>
    <s v="Male"/>
    <n v="71"/>
    <n v="3"/>
    <n v="1"/>
    <x v="1"/>
    <x v="3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  <x v="2"/>
    <x v="1"/>
    <x v="1"/>
  </r>
  <r>
    <n v="20"/>
    <x v="0"/>
    <s v="Travel_Frequently"/>
    <n v="871"/>
    <x v="1"/>
    <x v="16"/>
    <n v="3"/>
    <s v="Life Sciences"/>
    <n v="1"/>
    <n v="137"/>
    <n v="4"/>
    <s v="Female"/>
    <n v="66"/>
    <n v="2"/>
    <n v="1"/>
    <x v="2"/>
    <x v="0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  <x v="3"/>
    <x v="1"/>
    <x v="1"/>
  </r>
  <r>
    <n v="34"/>
    <x v="1"/>
    <s v="Travel_Rarely"/>
    <n v="665"/>
    <x v="1"/>
    <x v="16"/>
    <n v="4"/>
    <s v="Other"/>
    <n v="1"/>
    <n v="138"/>
    <n v="1"/>
    <s v="Female"/>
    <n v="41"/>
    <n v="3"/>
    <n v="2"/>
    <x v="1"/>
    <x v="2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  <x v="2"/>
    <x v="0"/>
    <x v="3"/>
  </r>
  <r>
    <n v="37"/>
    <x v="1"/>
    <s v="Non-Travel"/>
    <n v="1040"/>
    <x v="1"/>
    <x v="2"/>
    <n v="2"/>
    <s v="Life Sciences"/>
    <n v="1"/>
    <n v="139"/>
    <n v="3"/>
    <s v="Male"/>
    <n v="100"/>
    <n v="2"/>
    <n v="2"/>
    <x v="4"/>
    <x v="0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  <x v="0"/>
    <x v="0"/>
    <x v="1"/>
  </r>
  <r>
    <n v="59"/>
    <x v="1"/>
    <s v="Non-Travel"/>
    <n v="1420"/>
    <x v="2"/>
    <x v="2"/>
    <n v="4"/>
    <s v="Human Resources"/>
    <n v="1"/>
    <n v="140"/>
    <n v="3"/>
    <s v="Female"/>
    <n v="32"/>
    <n v="2"/>
    <n v="5"/>
    <x v="5"/>
    <x v="0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  <x v="1"/>
    <x v="2"/>
    <x v="2"/>
  </r>
  <r>
    <n v="50"/>
    <x v="1"/>
    <s v="Travel_Frequently"/>
    <n v="1115"/>
    <x v="1"/>
    <x v="0"/>
    <n v="3"/>
    <s v="Life Sciences"/>
    <n v="1"/>
    <n v="141"/>
    <n v="1"/>
    <s v="Female"/>
    <n v="73"/>
    <n v="3"/>
    <n v="5"/>
    <x v="7"/>
    <x v="1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  <x v="1"/>
    <x v="2"/>
    <x v="0"/>
  </r>
  <r>
    <n v="25"/>
    <x v="0"/>
    <s v="Travel_Rarely"/>
    <n v="240"/>
    <x v="0"/>
    <x v="12"/>
    <n v="3"/>
    <s v="Marketing"/>
    <n v="1"/>
    <n v="142"/>
    <n v="3"/>
    <s v="Male"/>
    <n v="46"/>
    <n v="2"/>
    <n v="2"/>
    <x v="0"/>
    <x v="2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  <x v="3"/>
    <x v="0"/>
    <x v="0"/>
  </r>
  <r>
    <n v="25"/>
    <x v="1"/>
    <s v="Travel_Rarely"/>
    <n v="1280"/>
    <x v="1"/>
    <x v="15"/>
    <n v="1"/>
    <s v="Medical"/>
    <n v="1"/>
    <n v="143"/>
    <n v="4"/>
    <s v="Male"/>
    <n v="64"/>
    <n v="2"/>
    <n v="1"/>
    <x v="1"/>
    <x v="0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  <x v="3"/>
    <x v="1"/>
    <x v="1"/>
  </r>
  <r>
    <n v="22"/>
    <x v="1"/>
    <s v="Travel_Rarely"/>
    <n v="534"/>
    <x v="1"/>
    <x v="8"/>
    <n v="3"/>
    <s v="Medical"/>
    <n v="1"/>
    <n v="144"/>
    <n v="2"/>
    <s v="Female"/>
    <n v="59"/>
    <n v="3"/>
    <n v="1"/>
    <x v="2"/>
    <x v="0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  <x v="3"/>
    <x v="1"/>
    <x v="1"/>
  </r>
  <r>
    <n v="51"/>
    <x v="1"/>
    <s v="Travel_Frequently"/>
    <n v="1456"/>
    <x v="1"/>
    <x v="0"/>
    <n v="4"/>
    <s v="Medical"/>
    <n v="1"/>
    <n v="145"/>
    <n v="1"/>
    <s v="Female"/>
    <n v="30"/>
    <n v="2"/>
    <n v="3"/>
    <x v="4"/>
    <x v="3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  <x v="1"/>
    <x v="2"/>
    <x v="3"/>
  </r>
  <r>
    <n v="34"/>
    <x v="0"/>
    <s v="Travel_Frequently"/>
    <n v="658"/>
    <x v="1"/>
    <x v="15"/>
    <n v="3"/>
    <s v="Life Sciences"/>
    <n v="1"/>
    <n v="147"/>
    <n v="1"/>
    <s v="Male"/>
    <n v="66"/>
    <n v="1"/>
    <n v="2"/>
    <x v="2"/>
    <x v="2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  <x v="2"/>
    <x v="0"/>
    <x v="0"/>
  </r>
  <r>
    <n v="54"/>
    <x v="1"/>
    <s v="Non-Travel"/>
    <n v="142"/>
    <x v="2"/>
    <x v="9"/>
    <n v="3"/>
    <s v="Human Resources"/>
    <n v="1"/>
    <n v="148"/>
    <n v="4"/>
    <s v="Female"/>
    <n v="30"/>
    <n v="4"/>
    <n v="4"/>
    <x v="5"/>
    <x v="0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  <x v="1"/>
    <x v="2"/>
    <x v="2"/>
  </r>
  <r>
    <n v="24"/>
    <x v="1"/>
    <s v="Travel_Rarely"/>
    <n v="1127"/>
    <x v="1"/>
    <x v="21"/>
    <n v="1"/>
    <s v="Life Sciences"/>
    <n v="1"/>
    <n v="150"/>
    <n v="2"/>
    <s v="Male"/>
    <n v="52"/>
    <n v="3"/>
    <n v="1"/>
    <x v="2"/>
    <x v="2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  <x v="3"/>
    <x v="1"/>
    <x v="2"/>
  </r>
  <r>
    <n v="34"/>
    <x v="1"/>
    <s v="Travel_Rarely"/>
    <n v="1031"/>
    <x v="1"/>
    <x v="16"/>
    <n v="4"/>
    <s v="Life Sciences"/>
    <n v="1"/>
    <n v="151"/>
    <n v="3"/>
    <s v="Female"/>
    <n v="45"/>
    <n v="2"/>
    <n v="2"/>
    <x v="1"/>
    <x v="1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  <x v="2"/>
    <x v="0"/>
    <x v="1"/>
  </r>
  <r>
    <n v="37"/>
    <x v="1"/>
    <s v="Travel_Rarely"/>
    <n v="1189"/>
    <x v="0"/>
    <x v="3"/>
    <n v="3"/>
    <s v="Life Sciences"/>
    <n v="1"/>
    <n v="152"/>
    <n v="3"/>
    <s v="Male"/>
    <n v="87"/>
    <n v="3"/>
    <n v="3"/>
    <x v="0"/>
    <x v="0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  <x v="0"/>
    <x v="2"/>
    <x v="2"/>
  </r>
  <r>
    <n v="34"/>
    <x v="1"/>
    <s v="Travel_Rarely"/>
    <n v="1354"/>
    <x v="1"/>
    <x v="12"/>
    <n v="3"/>
    <s v="Medical"/>
    <n v="1"/>
    <n v="153"/>
    <n v="3"/>
    <s v="Female"/>
    <n v="45"/>
    <n v="2"/>
    <n v="3"/>
    <x v="5"/>
    <x v="3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  <x v="2"/>
    <x v="2"/>
    <x v="3"/>
  </r>
  <r>
    <n v="36"/>
    <x v="1"/>
    <s v="Travel_Frequently"/>
    <n v="1467"/>
    <x v="0"/>
    <x v="13"/>
    <n v="2"/>
    <s v="Technical Degree"/>
    <n v="1"/>
    <n v="154"/>
    <n v="2"/>
    <s v="Female"/>
    <n v="92"/>
    <n v="3"/>
    <n v="3"/>
    <x v="0"/>
    <x v="0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  <x v="0"/>
    <x v="2"/>
    <x v="0"/>
  </r>
  <r>
    <n v="36"/>
    <x v="1"/>
    <s v="Travel_Rarely"/>
    <n v="922"/>
    <x v="1"/>
    <x v="3"/>
    <n v="2"/>
    <s v="Life Sciences"/>
    <n v="1"/>
    <n v="155"/>
    <n v="1"/>
    <s v="Female"/>
    <n v="39"/>
    <n v="3"/>
    <n v="1"/>
    <x v="2"/>
    <x v="0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  <x v="0"/>
    <x v="1"/>
    <x v="1"/>
  </r>
  <r>
    <n v="43"/>
    <x v="1"/>
    <s v="Travel_Frequently"/>
    <n v="394"/>
    <x v="0"/>
    <x v="9"/>
    <n v="2"/>
    <s v="Life Sciences"/>
    <n v="1"/>
    <n v="158"/>
    <n v="3"/>
    <s v="Male"/>
    <n v="92"/>
    <n v="3"/>
    <n v="4"/>
    <x v="5"/>
    <x v="0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  <x v="0"/>
    <x v="2"/>
    <x v="3"/>
  </r>
  <r>
    <n v="30"/>
    <x v="1"/>
    <s v="Travel_Frequently"/>
    <n v="1312"/>
    <x v="1"/>
    <x v="5"/>
    <n v="3"/>
    <s v="Life Sciences"/>
    <n v="1"/>
    <n v="159"/>
    <n v="1"/>
    <s v="Male"/>
    <n v="96"/>
    <n v="1"/>
    <n v="1"/>
    <x v="1"/>
    <x v="2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  <x v="2"/>
    <x v="1"/>
    <x v="0"/>
  </r>
  <r>
    <n v="33"/>
    <x v="1"/>
    <s v="Non-Travel"/>
    <n v="750"/>
    <x v="0"/>
    <x v="23"/>
    <n v="2"/>
    <s v="Marketing"/>
    <n v="1"/>
    <n v="160"/>
    <n v="3"/>
    <s v="Male"/>
    <n v="95"/>
    <n v="3"/>
    <n v="2"/>
    <x v="0"/>
    <x v="1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  <x v="2"/>
    <x v="0"/>
    <x v="0"/>
  </r>
  <r>
    <n v="56"/>
    <x v="0"/>
    <s v="Travel_Rarely"/>
    <n v="441"/>
    <x v="1"/>
    <x v="24"/>
    <n v="4"/>
    <s v="Life Sciences"/>
    <n v="1"/>
    <n v="161"/>
    <n v="2"/>
    <s v="Female"/>
    <n v="72"/>
    <n v="3"/>
    <n v="1"/>
    <x v="1"/>
    <x v="1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  <x v="1"/>
    <x v="0"/>
    <x v="2"/>
  </r>
  <r>
    <n v="51"/>
    <x v="1"/>
    <s v="Travel_Rarely"/>
    <n v="684"/>
    <x v="1"/>
    <x v="16"/>
    <n v="3"/>
    <s v="Life Sciences"/>
    <n v="1"/>
    <n v="162"/>
    <n v="1"/>
    <s v="Male"/>
    <n v="51"/>
    <n v="3"/>
    <n v="5"/>
    <x v="7"/>
    <x v="2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  <x v="1"/>
    <x v="2"/>
    <x v="3"/>
  </r>
  <r>
    <n v="31"/>
    <x v="0"/>
    <s v="Travel_Rarely"/>
    <n v="249"/>
    <x v="0"/>
    <x v="16"/>
    <n v="4"/>
    <s v="Life Sciences"/>
    <n v="1"/>
    <n v="163"/>
    <n v="2"/>
    <s v="Male"/>
    <n v="76"/>
    <n v="1"/>
    <n v="2"/>
    <x v="0"/>
    <x v="2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  <x v="2"/>
    <x v="0"/>
    <x v="0"/>
  </r>
  <r>
    <n v="26"/>
    <x v="1"/>
    <s v="Travel_Rarely"/>
    <n v="841"/>
    <x v="1"/>
    <x v="16"/>
    <n v="3"/>
    <s v="Other"/>
    <n v="1"/>
    <n v="164"/>
    <n v="3"/>
    <s v="Female"/>
    <n v="46"/>
    <n v="2"/>
    <n v="1"/>
    <x v="1"/>
    <x v="1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  <x v="2"/>
    <x v="1"/>
    <x v="2"/>
  </r>
  <r>
    <n v="58"/>
    <x v="0"/>
    <s v="Travel_Rarely"/>
    <n v="147"/>
    <x v="1"/>
    <x v="5"/>
    <n v="4"/>
    <s v="Medical"/>
    <n v="1"/>
    <n v="165"/>
    <n v="4"/>
    <s v="Female"/>
    <n v="94"/>
    <n v="3"/>
    <n v="3"/>
    <x v="4"/>
    <x v="0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  <x v="1"/>
    <x v="2"/>
    <x v="3"/>
  </r>
  <r>
    <n v="19"/>
    <x v="0"/>
    <s v="Travel_Rarely"/>
    <n v="528"/>
    <x v="0"/>
    <x v="23"/>
    <n v="1"/>
    <s v="Marketing"/>
    <n v="1"/>
    <n v="167"/>
    <n v="4"/>
    <s v="Male"/>
    <n v="50"/>
    <n v="3"/>
    <n v="1"/>
    <x v="6"/>
    <x v="2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  <x v="3"/>
    <x v="1"/>
    <x v="1"/>
  </r>
  <r>
    <n v="22"/>
    <x v="1"/>
    <s v="Travel_Rarely"/>
    <n v="594"/>
    <x v="1"/>
    <x v="2"/>
    <n v="1"/>
    <s v="Technical Degree"/>
    <n v="1"/>
    <n v="169"/>
    <n v="3"/>
    <s v="Male"/>
    <n v="100"/>
    <n v="3"/>
    <n v="1"/>
    <x v="2"/>
    <x v="0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  <x v="3"/>
    <x v="1"/>
    <x v="1"/>
  </r>
  <r>
    <n v="49"/>
    <x v="1"/>
    <s v="Travel_Rarely"/>
    <n v="470"/>
    <x v="1"/>
    <x v="25"/>
    <n v="4"/>
    <s v="Medical"/>
    <n v="1"/>
    <n v="170"/>
    <n v="3"/>
    <s v="Female"/>
    <n v="96"/>
    <n v="3"/>
    <n v="2"/>
    <x v="3"/>
    <x v="3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  <x v="1"/>
    <x v="0"/>
    <x v="3"/>
  </r>
  <r>
    <n v="43"/>
    <x v="1"/>
    <s v="Travel_Frequently"/>
    <n v="957"/>
    <x v="1"/>
    <x v="26"/>
    <n v="3"/>
    <s v="Medical"/>
    <n v="1"/>
    <n v="171"/>
    <n v="2"/>
    <s v="Female"/>
    <n v="72"/>
    <n v="4"/>
    <n v="1"/>
    <x v="1"/>
    <x v="2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  <x v="0"/>
    <x v="0"/>
    <x v="2"/>
  </r>
  <r>
    <n v="50"/>
    <x v="1"/>
    <s v="Travel_Frequently"/>
    <n v="809"/>
    <x v="0"/>
    <x v="20"/>
    <n v="3"/>
    <s v="Marketing"/>
    <n v="1"/>
    <n v="174"/>
    <n v="3"/>
    <s v="Female"/>
    <n v="77"/>
    <n v="3"/>
    <n v="3"/>
    <x v="0"/>
    <x v="0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  <x v="1"/>
    <x v="2"/>
    <x v="1"/>
  </r>
  <r>
    <n v="31"/>
    <x v="0"/>
    <s v="Travel_Rarely"/>
    <n v="542"/>
    <x v="0"/>
    <x v="25"/>
    <n v="3"/>
    <s v="Life Sciences"/>
    <n v="1"/>
    <n v="175"/>
    <n v="2"/>
    <s v="Female"/>
    <n v="71"/>
    <n v="1"/>
    <n v="2"/>
    <x v="0"/>
    <x v="2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  <x v="2"/>
    <x v="0"/>
    <x v="1"/>
  </r>
  <r>
    <n v="41"/>
    <x v="1"/>
    <s v="Travel_Rarely"/>
    <n v="802"/>
    <x v="0"/>
    <x v="14"/>
    <n v="1"/>
    <s v="Life Sciences"/>
    <n v="1"/>
    <n v="176"/>
    <n v="3"/>
    <s v="Male"/>
    <n v="96"/>
    <n v="3"/>
    <n v="3"/>
    <x v="0"/>
    <x v="2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  <x v="0"/>
    <x v="2"/>
    <x v="0"/>
  </r>
  <r>
    <n v="26"/>
    <x v="1"/>
    <s v="Travel_Rarely"/>
    <n v="1355"/>
    <x v="2"/>
    <x v="19"/>
    <n v="1"/>
    <s v="Life Sciences"/>
    <n v="1"/>
    <n v="177"/>
    <n v="3"/>
    <s v="Female"/>
    <n v="61"/>
    <n v="3"/>
    <n v="1"/>
    <x v="8"/>
    <x v="2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  <x v="2"/>
    <x v="1"/>
    <x v="0"/>
  </r>
  <r>
    <n v="36"/>
    <x v="1"/>
    <s v="Travel_Rarely"/>
    <n v="216"/>
    <x v="1"/>
    <x v="16"/>
    <n v="2"/>
    <s v="Medical"/>
    <n v="1"/>
    <n v="178"/>
    <n v="2"/>
    <s v="Male"/>
    <n v="84"/>
    <n v="3"/>
    <n v="2"/>
    <x v="3"/>
    <x v="1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  <x v="0"/>
    <x v="0"/>
    <x v="2"/>
  </r>
  <r>
    <n v="51"/>
    <x v="0"/>
    <s v="Travel_Frequently"/>
    <n v="1150"/>
    <x v="1"/>
    <x v="1"/>
    <n v="4"/>
    <s v="Life Sciences"/>
    <n v="1"/>
    <n v="179"/>
    <n v="1"/>
    <s v="Male"/>
    <n v="53"/>
    <n v="1"/>
    <n v="3"/>
    <x v="3"/>
    <x v="0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  <x v="1"/>
    <x v="2"/>
    <x v="2"/>
  </r>
  <r>
    <n v="39"/>
    <x v="1"/>
    <s v="Travel_Rarely"/>
    <n v="1329"/>
    <x v="0"/>
    <x v="18"/>
    <n v="4"/>
    <s v="Life Sciences"/>
    <n v="1"/>
    <n v="182"/>
    <n v="4"/>
    <s v="Female"/>
    <n v="47"/>
    <n v="2"/>
    <n v="2"/>
    <x v="0"/>
    <x v="2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  <x v="0"/>
    <x v="0"/>
    <x v="3"/>
  </r>
  <r>
    <n v="25"/>
    <x v="1"/>
    <s v="Travel_Rarely"/>
    <n v="959"/>
    <x v="0"/>
    <x v="26"/>
    <n v="3"/>
    <s v="Life Sciences"/>
    <n v="1"/>
    <n v="183"/>
    <n v="1"/>
    <s v="Male"/>
    <n v="41"/>
    <n v="2"/>
    <n v="2"/>
    <x v="0"/>
    <x v="2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  <x v="3"/>
    <x v="2"/>
    <x v="1"/>
  </r>
  <r>
    <n v="30"/>
    <x v="1"/>
    <s v="Travel_Rarely"/>
    <n v="1240"/>
    <x v="2"/>
    <x v="14"/>
    <n v="3"/>
    <s v="Human Resources"/>
    <n v="1"/>
    <n v="184"/>
    <n v="3"/>
    <s v="Male"/>
    <n v="48"/>
    <n v="3"/>
    <n v="2"/>
    <x v="8"/>
    <x v="0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  <x v="2"/>
    <x v="0"/>
    <x v="3"/>
  </r>
  <r>
    <n v="32"/>
    <x v="0"/>
    <s v="Travel_Rarely"/>
    <n v="1033"/>
    <x v="1"/>
    <x v="14"/>
    <n v="3"/>
    <s v="Medical"/>
    <n v="1"/>
    <n v="190"/>
    <n v="1"/>
    <s v="Female"/>
    <n v="41"/>
    <n v="3"/>
    <n v="1"/>
    <x v="2"/>
    <x v="3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  <x v="2"/>
    <x v="0"/>
    <x v="2"/>
  </r>
  <r>
    <n v="45"/>
    <x v="1"/>
    <s v="Travel_Rarely"/>
    <n v="1316"/>
    <x v="1"/>
    <x v="22"/>
    <n v="3"/>
    <s v="Medical"/>
    <n v="1"/>
    <n v="192"/>
    <n v="3"/>
    <s v="Male"/>
    <n v="83"/>
    <n v="3"/>
    <n v="1"/>
    <x v="1"/>
    <x v="0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  <x v="0"/>
    <x v="0"/>
    <x v="0"/>
  </r>
  <r>
    <n v="38"/>
    <x v="1"/>
    <s v="Travel_Rarely"/>
    <n v="364"/>
    <x v="1"/>
    <x v="3"/>
    <n v="5"/>
    <s v="Technical Degree"/>
    <n v="1"/>
    <n v="193"/>
    <n v="4"/>
    <s v="Female"/>
    <n v="32"/>
    <n v="3"/>
    <n v="2"/>
    <x v="1"/>
    <x v="2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  <x v="0"/>
    <x v="0"/>
    <x v="2"/>
  </r>
  <r>
    <n v="30"/>
    <x v="1"/>
    <s v="Travel_Rarely"/>
    <n v="438"/>
    <x v="1"/>
    <x v="21"/>
    <n v="3"/>
    <s v="Life Sciences"/>
    <n v="1"/>
    <n v="194"/>
    <n v="1"/>
    <s v="Female"/>
    <n v="75"/>
    <n v="3"/>
    <n v="1"/>
    <x v="1"/>
    <x v="2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  <x v="2"/>
    <x v="1"/>
    <x v="2"/>
  </r>
  <r>
    <n v="32"/>
    <x v="1"/>
    <s v="Travel_Frequently"/>
    <n v="689"/>
    <x v="0"/>
    <x v="14"/>
    <n v="2"/>
    <s v="Medical"/>
    <n v="1"/>
    <n v="195"/>
    <n v="4"/>
    <s v="Male"/>
    <n v="35"/>
    <n v="1"/>
    <n v="2"/>
    <x v="0"/>
    <x v="0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  <x v="2"/>
    <x v="0"/>
    <x v="0"/>
  </r>
  <r>
    <n v="30"/>
    <x v="1"/>
    <s v="Travel_Rarely"/>
    <n v="201"/>
    <x v="1"/>
    <x v="12"/>
    <n v="3"/>
    <s v="Technical Degree"/>
    <n v="1"/>
    <n v="197"/>
    <n v="4"/>
    <s v="Female"/>
    <n v="84"/>
    <n v="3"/>
    <n v="1"/>
    <x v="1"/>
    <x v="3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  <x v="2"/>
    <x v="0"/>
    <x v="2"/>
  </r>
  <r>
    <n v="30"/>
    <x v="1"/>
    <s v="Travel_Rarely"/>
    <n v="1427"/>
    <x v="1"/>
    <x v="2"/>
    <n v="1"/>
    <s v="Medical"/>
    <n v="1"/>
    <n v="198"/>
    <n v="2"/>
    <s v="Male"/>
    <n v="35"/>
    <n v="2"/>
    <n v="1"/>
    <x v="2"/>
    <x v="0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  <x v="2"/>
    <x v="1"/>
    <x v="2"/>
  </r>
  <r>
    <n v="41"/>
    <x v="1"/>
    <s v="Travel_Frequently"/>
    <n v="857"/>
    <x v="1"/>
    <x v="17"/>
    <n v="3"/>
    <s v="Life Sciences"/>
    <n v="1"/>
    <n v="199"/>
    <n v="4"/>
    <s v="Male"/>
    <n v="91"/>
    <n v="2"/>
    <n v="4"/>
    <x v="5"/>
    <x v="3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  <x v="0"/>
    <x v="2"/>
    <x v="0"/>
  </r>
  <r>
    <n v="41"/>
    <x v="1"/>
    <s v="Travel_Rarely"/>
    <n v="933"/>
    <x v="1"/>
    <x v="14"/>
    <n v="4"/>
    <s v="Life Sciences"/>
    <n v="1"/>
    <n v="200"/>
    <n v="3"/>
    <s v="Male"/>
    <n v="94"/>
    <n v="3"/>
    <n v="1"/>
    <x v="2"/>
    <x v="3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  <x v="0"/>
    <x v="1"/>
    <x v="2"/>
  </r>
  <r>
    <n v="19"/>
    <x v="1"/>
    <s v="Travel_Rarely"/>
    <n v="1181"/>
    <x v="1"/>
    <x v="3"/>
    <n v="1"/>
    <s v="Medical"/>
    <n v="1"/>
    <n v="201"/>
    <n v="2"/>
    <s v="Female"/>
    <n v="79"/>
    <n v="3"/>
    <n v="1"/>
    <x v="2"/>
    <x v="1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  <x v="3"/>
    <x v="1"/>
    <x v="1"/>
  </r>
  <r>
    <n v="40"/>
    <x v="1"/>
    <s v="Travel_Frequently"/>
    <n v="1395"/>
    <x v="1"/>
    <x v="9"/>
    <n v="3"/>
    <s v="Medical"/>
    <n v="1"/>
    <n v="202"/>
    <n v="2"/>
    <s v="Female"/>
    <n v="54"/>
    <n v="3"/>
    <n v="2"/>
    <x v="1"/>
    <x v="1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  <x v="0"/>
    <x v="0"/>
    <x v="3"/>
  </r>
  <r>
    <n v="35"/>
    <x v="1"/>
    <s v="Travel_Rarely"/>
    <n v="662"/>
    <x v="0"/>
    <x v="0"/>
    <n v="5"/>
    <s v="Marketing"/>
    <n v="1"/>
    <n v="204"/>
    <n v="3"/>
    <s v="Male"/>
    <n v="94"/>
    <n v="3"/>
    <n v="3"/>
    <x v="0"/>
    <x v="1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  <x v="2"/>
    <x v="2"/>
    <x v="0"/>
  </r>
  <r>
    <n v="53"/>
    <x v="1"/>
    <s v="Travel_Rarely"/>
    <n v="1436"/>
    <x v="0"/>
    <x v="16"/>
    <n v="2"/>
    <s v="Marketing"/>
    <n v="1"/>
    <n v="205"/>
    <n v="2"/>
    <s v="Male"/>
    <n v="34"/>
    <n v="3"/>
    <n v="2"/>
    <x v="6"/>
    <x v="2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  <x v="1"/>
    <x v="1"/>
    <x v="0"/>
  </r>
  <r>
    <n v="45"/>
    <x v="1"/>
    <s v="Travel_Rarely"/>
    <n v="194"/>
    <x v="1"/>
    <x v="14"/>
    <n v="3"/>
    <s v="Life Sciences"/>
    <n v="1"/>
    <n v="206"/>
    <n v="2"/>
    <s v="Male"/>
    <n v="60"/>
    <n v="3"/>
    <n v="2"/>
    <x v="2"/>
    <x v="1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  <x v="0"/>
    <x v="1"/>
    <x v="3"/>
  </r>
  <r>
    <n v="32"/>
    <x v="1"/>
    <s v="Travel_Frequently"/>
    <n v="967"/>
    <x v="0"/>
    <x v="1"/>
    <n v="3"/>
    <s v="Marketing"/>
    <n v="1"/>
    <n v="207"/>
    <n v="2"/>
    <s v="Female"/>
    <n v="43"/>
    <n v="3"/>
    <n v="3"/>
    <x v="0"/>
    <x v="0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  <x v="2"/>
    <x v="2"/>
    <x v="0"/>
  </r>
  <r>
    <n v="29"/>
    <x v="1"/>
    <s v="Non-Travel"/>
    <n v="1496"/>
    <x v="1"/>
    <x v="0"/>
    <n v="1"/>
    <s v="Technical Degree"/>
    <n v="1"/>
    <n v="208"/>
    <n v="4"/>
    <s v="Male"/>
    <n v="41"/>
    <n v="3"/>
    <n v="2"/>
    <x v="3"/>
    <x v="2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  <x v="2"/>
    <x v="0"/>
    <x v="0"/>
  </r>
  <r>
    <n v="51"/>
    <x v="1"/>
    <s v="Travel_Rarely"/>
    <n v="1169"/>
    <x v="1"/>
    <x v="15"/>
    <n v="4"/>
    <s v="Medical"/>
    <n v="1"/>
    <n v="211"/>
    <n v="2"/>
    <s v="Male"/>
    <n v="34"/>
    <n v="2"/>
    <n v="2"/>
    <x v="3"/>
    <x v="2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  <x v="1"/>
    <x v="0"/>
    <x v="1"/>
  </r>
  <r>
    <n v="58"/>
    <x v="1"/>
    <s v="Travel_Rarely"/>
    <n v="1145"/>
    <x v="1"/>
    <x v="14"/>
    <n v="3"/>
    <s v="Medical"/>
    <n v="1"/>
    <n v="214"/>
    <n v="2"/>
    <s v="Female"/>
    <n v="75"/>
    <n v="2"/>
    <n v="1"/>
    <x v="1"/>
    <x v="1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  <x v="1"/>
    <x v="0"/>
    <x v="1"/>
  </r>
  <r>
    <n v="40"/>
    <x v="1"/>
    <s v="Travel_Rarely"/>
    <n v="630"/>
    <x v="0"/>
    <x v="18"/>
    <n v="4"/>
    <s v="Marketing"/>
    <n v="1"/>
    <n v="215"/>
    <n v="3"/>
    <s v="Male"/>
    <n v="67"/>
    <n v="2"/>
    <n v="3"/>
    <x v="0"/>
    <x v="0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  <x v="0"/>
    <x v="2"/>
    <x v="3"/>
  </r>
  <r>
    <n v="34"/>
    <x v="1"/>
    <s v="Travel_Frequently"/>
    <n v="303"/>
    <x v="0"/>
    <x v="2"/>
    <n v="4"/>
    <s v="Marketing"/>
    <n v="1"/>
    <n v="216"/>
    <n v="3"/>
    <s v="Female"/>
    <n v="75"/>
    <n v="3"/>
    <n v="1"/>
    <x v="6"/>
    <x v="2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  <x v="2"/>
    <x v="1"/>
    <x v="2"/>
  </r>
  <r>
    <n v="22"/>
    <x v="1"/>
    <s v="Travel_Rarely"/>
    <n v="1256"/>
    <x v="1"/>
    <x v="10"/>
    <n v="1"/>
    <s v="Medical"/>
    <n v="1"/>
    <n v="217"/>
    <n v="3"/>
    <s v="Male"/>
    <n v="80"/>
    <n v="3"/>
    <n v="1"/>
    <x v="1"/>
    <x v="0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  <x v="3"/>
    <x v="1"/>
    <x v="1"/>
  </r>
  <r>
    <n v="27"/>
    <x v="1"/>
    <s v="Non-Travel"/>
    <n v="691"/>
    <x v="1"/>
    <x v="14"/>
    <n v="3"/>
    <s v="Medical"/>
    <n v="1"/>
    <n v="218"/>
    <n v="4"/>
    <s v="Male"/>
    <n v="57"/>
    <n v="3"/>
    <n v="1"/>
    <x v="1"/>
    <x v="1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  <x v="2"/>
    <x v="1"/>
    <x v="1"/>
  </r>
  <r>
    <n v="28"/>
    <x v="1"/>
    <s v="Travel_Rarely"/>
    <n v="440"/>
    <x v="1"/>
    <x v="11"/>
    <n v="3"/>
    <s v="Medical"/>
    <n v="1"/>
    <n v="221"/>
    <n v="3"/>
    <s v="Male"/>
    <n v="42"/>
    <n v="3"/>
    <n v="1"/>
    <x v="1"/>
    <x v="0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  <x v="2"/>
    <x v="1"/>
    <x v="2"/>
  </r>
  <r>
    <n v="57"/>
    <x v="1"/>
    <s v="Travel_Rarely"/>
    <n v="334"/>
    <x v="1"/>
    <x v="4"/>
    <n v="2"/>
    <s v="Life Sciences"/>
    <n v="1"/>
    <n v="223"/>
    <n v="3"/>
    <s v="Male"/>
    <n v="83"/>
    <n v="4"/>
    <n v="3"/>
    <x v="4"/>
    <x v="0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  <x v="1"/>
    <x v="2"/>
    <x v="2"/>
  </r>
  <r>
    <n v="27"/>
    <x v="1"/>
    <s v="Non-Travel"/>
    <n v="1450"/>
    <x v="1"/>
    <x v="3"/>
    <n v="3"/>
    <s v="Medical"/>
    <n v="1"/>
    <n v="224"/>
    <n v="3"/>
    <s v="Male"/>
    <n v="79"/>
    <n v="2"/>
    <n v="1"/>
    <x v="1"/>
    <x v="2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  <x v="2"/>
    <x v="1"/>
    <x v="1"/>
  </r>
  <r>
    <n v="50"/>
    <x v="1"/>
    <s v="Travel_Rarely"/>
    <n v="1452"/>
    <x v="1"/>
    <x v="13"/>
    <n v="3"/>
    <s v="Life Sciences"/>
    <n v="1"/>
    <n v="226"/>
    <n v="3"/>
    <s v="Female"/>
    <n v="53"/>
    <n v="3"/>
    <n v="5"/>
    <x v="5"/>
    <x v="1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  <x v="1"/>
    <x v="2"/>
    <x v="2"/>
  </r>
  <r>
    <n v="41"/>
    <x v="1"/>
    <s v="Travel_Rarely"/>
    <n v="465"/>
    <x v="1"/>
    <x v="24"/>
    <n v="3"/>
    <s v="Life Sciences"/>
    <n v="1"/>
    <n v="227"/>
    <n v="1"/>
    <s v="Male"/>
    <n v="56"/>
    <n v="3"/>
    <n v="1"/>
    <x v="1"/>
    <x v="2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  <x v="0"/>
    <x v="1"/>
    <x v="0"/>
  </r>
  <r>
    <n v="30"/>
    <x v="1"/>
    <s v="Travel_Rarely"/>
    <n v="1339"/>
    <x v="0"/>
    <x v="12"/>
    <n v="3"/>
    <s v="Life Sciences"/>
    <n v="1"/>
    <n v="228"/>
    <n v="2"/>
    <s v="Female"/>
    <n v="41"/>
    <n v="3"/>
    <n v="3"/>
    <x v="0"/>
    <x v="0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  <x v="2"/>
    <x v="2"/>
    <x v="0"/>
  </r>
  <r>
    <n v="38"/>
    <x v="1"/>
    <s v="Travel_Rarely"/>
    <n v="702"/>
    <x v="0"/>
    <x v="0"/>
    <n v="4"/>
    <s v="Life Sciences"/>
    <n v="1"/>
    <n v="230"/>
    <n v="1"/>
    <s v="Female"/>
    <n v="59"/>
    <n v="2"/>
    <n v="2"/>
    <x v="0"/>
    <x v="0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  <x v="0"/>
    <x v="2"/>
    <x v="0"/>
  </r>
  <r>
    <n v="32"/>
    <x v="1"/>
    <s v="Travel_Rarely"/>
    <n v="120"/>
    <x v="1"/>
    <x v="16"/>
    <n v="5"/>
    <s v="Life Sciences"/>
    <n v="1"/>
    <n v="231"/>
    <n v="3"/>
    <s v="Male"/>
    <n v="43"/>
    <n v="3"/>
    <n v="1"/>
    <x v="1"/>
    <x v="2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  <x v="2"/>
    <x v="0"/>
    <x v="2"/>
  </r>
  <r>
    <n v="27"/>
    <x v="1"/>
    <s v="Travel_Rarely"/>
    <n v="1157"/>
    <x v="1"/>
    <x v="27"/>
    <n v="3"/>
    <s v="Technical Degree"/>
    <n v="1"/>
    <n v="233"/>
    <n v="3"/>
    <s v="Male"/>
    <n v="51"/>
    <n v="3"/>
    <n v="1"/>
    <x v="1"/>
    <x v="1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  <x v="2"/>
    <x v="0"/>
    <x v="2"/>
  </r>
  <r>
    <n v="19"/>
    <x v="0"/>
    <s v="Travel_Frequently"/>
    <n v="602"/>
    <x v="0"/>
    <x v="0"/>
    <n v="1"/>
    <s v="Technical Degree"/>
    <n v="1"/>
    <n v="235"/>
    <n v="3"/>
    <s v="Female"/>
    <n v="100"/>
    <n v="1"/>
    <n v="1"/>
    <x v="6"/>
    <x v="3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  <x v="3"/>
    <x v="1"/>
    <x v="1"/>
  </r>
  <r>
    <n v="36"/>
    <x v="1"/>
    <s v="Travel_Frequently"/>
    <n v="1480"/>
    <x v="1"/>
    <x v="3"/>
    <n v="2"/>
    <s v="Medical"/>
    <n v="1"/>
    <n v="238"/>
    <n v="4"/>
    <s v="Male"/>
    <n v="30"/>
    <n v="3"/>
    <n v="1"/>
    <x v="2"/>
    <x v="1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  <x v="0"/>
    <x v="1"/>
    <x v="0"/>
  </r>
  <r>
    <n v="30"/>
    <x v="1"/>
    <s v="Non-Travel"/>
    <n v="111"/>
    <x v="1"/>
    <x v="14"/>
    <n v="3"/>
    <s v="Medical"/>
    <n v="1"/>
    <n v="239"/>
    <n v="3"/>
    <s v="Male"/>
    <n v="66"/>
    <n v="3"/>
    <n v="2"/>
    <x v="2"/>
    <x v="3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  <x v="2"/>
    <x v="0"/>
    <x v="3"/>
  </r>
  <r>
    <n v="45"/>
    <x v="1"/>
    <s v="Travel_Rarely"/>
    <n v="1268"/>
    <x v="0"/>
    <x v="18"/>
    <n v="2"/>
    <s v="Life Sciences"/>
    <n v="1"/>
    <n v="240"/>
    <n v="3"/>
    <s v="Female"/>
    <n v="30"/>
    <n v="3"/>
    <n v="2"/>
    <x v="0"/>
    <x v="3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  <x v="0"/>
    <x v="0"/>
    <x v="2"/>
  </r>
  <r>
    <n v="56"/>
    <x v="1"/>
    <s v="Travel_Rarely"/>
    <n v="713"/>
    <x v="1"/>
    <x v="1"/>
    <n v="3"/>
    <s v="Life Sciences"/>
    <n v="1"/>
    <n v="241"/>
    <n v="3"/>
    <s v="Female"/>
    <n v="67"/>
    <n v="3"/>
    <n v="1"/>
    <x v="1"/>
    <x v="3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  <x v="1"/>
    <x v="0"/>
    <x v="1"/>
  </r>
  <r>
    <n v="33"/>
    <x v="1"/>
    <s v="Travel_Rarely"/>
    <n v="134"/>
    <x v="1"/>
    <x v="2"/>
    <n v="3"/>
    <s v="Life Sciences"/>
    <n v="1"/>
    <n v="242"/>
    <n v="3"/>
    <s v="Male"/>
    <n v="90"/>
    <n v="3"/>
    <n v="1"/>
    <x v="1"/>
    <x v="0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  <x v="2"/>
    <x v="1"/>
    <x v="2"/>
  </r>
  <r>
    <n v="19"/>
    <x v="0"/>
    <s v="Travel_Rarely"/>
    <n v="303"/>
    <x v="1"/>
    <x v="2"/>
    <n v="3"/>
    <s v="Life Sciences"/>
    <n v="1"/>
    <n v="243"/>
    <n v="2"/>
    <s v="Male"/>
    <n v="47"/>
    <n v="2"/>
    <n v="1"/>
    <x v="2"/>
    <x v="0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  <x v="3"/>
    <x v="1"/>
    <x v="1"/>
  </r>
  <r>
    <n v="46"/>
    <x v="1"/>
    <s v="Travel_Rarely"/>
    <n v="526"/>
    <x v="0"/>
    <x v="0"/>
    <n v="2"/>
    <s v="Marketing"/>
    <n v="1"/>
    <n v="244"/>
    <n v="2"/>
    <s v="Female"/>
    <n v="92"/>
    <n v="3"/>
    <n v="3"/>
    <x v="0"/>
    <x v="3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  <x v="1"/>
    <x v="2"/>
    <x v="3"/>
  </r>
  <r>
    <n v="38"/>
    <x v="1"/>
    <s v="Travel_Rarely"/>
    <n v="1380"/>
    <x v="1"/>
    <x v="14"/>
    <n v="2"/>
    <s v="Life Sciences"/>
    <n v="1"/>
    <n v="245"/>
    <n v="3"/>
    <s v="Female"/>
    <n v="75"/>
    <n v="3"/>
    <n v="1"/>
    <x v="2"/>
    <x v="0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  <x v="0"/>
    <x v="1"/>
    <x v="1"/>
  </r>
  <r>
    <n v="31"/>
    <x v="1"/>
    <s v="Travel_Rarely"/>
    <n v="140"/>
    <x v="1"/>
    <x v="20"/>
    <n v="1"/>
    <s v="Medical"/>
    <n v="1"/>
    <n v="246"/>
    <n v="3"/>
    <s v="Female"/>
    <n v="95"/>
    <n v="3"/>
    <n v="1"/>
    <x v="1"/>
    <x v="0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  <x v="2"/>
    <x v="0"/>
    <x v="2"/>
  </r>
  <r>
    <n v="34"/>
    <x v="1"/>
    <s v="Travel_Rarely"/>
    <n v="629"/>
    <x v="1"/>
    <x v="6"/>
    <n v="2"/>
    <s v="Medical"/>
    <n v="1"/>
    <n v="247"/>
    <n v="4"/>
    <s v="Female"/>
    <n v="95"/>
    <n v="3"/>
    <n v="1"/>
    <x v="1"/>
    <x v="1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  <x v="2"/>
    <x v="1"/>
    <x v="2"/>
  </r>
  <r>
    <n v="41"/>
    <x v="0"/>
    <s v="Travel_Rarely"/>
    <n v="1356"/>
    <x v="0"/>
    <x v="25"/>
    <n v="2"/>
    <s v="Marketing"/>
    <n v="1"/>
    <n v="248"/>
    <n v="2"/>
    <s v="Female"/>
    <n v="70"/>
    <n v="3"/>
    <n v="1"/>
    <x v="6"/>
    <x v="1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  <x v="0"/>
    <x v="0"/>
    <x v="2"/>
  </r>
  <r>
    <n v="50"/>
    <x v="1"/>
    <s v="Travel_Rarely"/>
    <n v="328"/>
    <x v="1"/>
    <x v="0"/>
    <n v="3"/>
    <s v="Medical"/>
    <n v="1"/>
    <n v="249"/>
    <n v="3"/>
    <s v="Male"/>
    <n v="86"/>
    <n v="2"/>
    <n v="1"/>
    <x v="2"/>
    <x v="2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  <x v="1"/>
    <x v="0"/>
    <x v="2"/>
  </r>
  <r>
    <n v="53"/>
    <x v="1"/>
    <s v="Travel_Rarely"/>
    <n v="1084"/>
    <x v="1"/>
    <x v="28"/>
    <n v="2"/>
    <s v="Medical"/>
    <n v="1"/>
    <n v="250"/>
    <n v="4"/>
    <s v="Female"/>
    <n v="57"/>
    <n v="4"/>
    <n v="2"/>
    <x v="3"/>
    <x v="3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  <x v="1"/>
    <x v="0"/>
    <x v="2"/>
  </r>
  <r>
    <n v="33"/>
    <x v="1"/>
    <s v="Travel_Rarely"/>
    <n v="931"/>
    <x v="1"/>
    <x v="24"/>
    <n v="3"/>
    <s v="Medical"/>
    <n v="1"/>
    <n v="252"/>
    <n v="4"/>
    <s v="Female"/>
    <n v="72"/>
    <n v="3"/>
    <n v="1"/>
    <x v="1"/>
    <x v="1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  <x v="2"/>
    <x v="1"/>
    <x v="0"/>
  </r>
  <r>
    <n v="40"/>
    <x v="1"/>
    <s v="Travel_Rarely"/>
    <n v="989"/>
    <x v="1"/>
    <x v="18"/>
    <n v="1"/>
    <s v="Medical"/>
    <n v="1"/>
    <n v="253"/>
    <n v="4"/>
    <s v="Female"/>
    <n v="46"/>
    <n v="3"/>
    <n v="5"/>
    <x v="5"/>
    <x v="2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  <x v="0"/>
    <x v="2"/>
    <x v="3"/>
  </r>
  <r>
    <n v="55"/>
    <x v="1"/>
    <s v="Travel_Rarely"/>
    <n v="692"/>
    <x v="1"/>
    <x v="24"/>
    <n v="4"/>
    <s v="Medical"/>
    <n v="1"/>
    <n v="254"/>
    <n v="3"/>
    <s v="Male"/>
    <n v="61"/>
    <n v="4"/>
    <n v="5"/>
    <x v="7"/>
    <x v="1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  <x v="1"/>
    <x v="2"/>
    <x v="3"/>
  </r>
  <r>
    <n v="34"/>
    <x v="1"/>
    <s v="Travel_Frequently"/>
    <n v="1069"/>
    <x v="1"/>
    <x v="2"/>
    <n v="1"/>
    <s v="Life Sciences"/>
    <n v="1"/>
    <n v="256"/>
    <n v="4"/>
    <s v="Male"/>
    <n v="45"/>
    <n v="2"/>
    <n v="2"/>
    <x v="3"/>
    <x v="2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  <x v="2"/>
    <x v="2"/>
    <x v="0"/>
  </r>
  <r>
    <n v="51"/>
    <x v="1"/>
    <s v="Travel_Rarely"/>
    <n v="313"/>
    <x v="1"/>
    <x v="3"/>
    <n v="3"/>
    <s v="Medical"/>
    <n v="1"/>
    <n v="258"/>
    <n v="4"/>
    <s v="Female"/>
    <n v="98"/>
    <n v="3"/>
    <n v="4"/>
    <x v="4"/>
    <x v="1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  <x v="1"/>
    <x v="2"/>
    <x v="0"/>
  </r>
  <r>
    <n v="52"/>
    <x v="1"/>
    <s v="Travel_Rarely"/>
    <n v="699"/>
    <x v="1"/>
    <x v="0"/>
    <n v="4"/>
    <s v="Life Sciences"/>
    <n v="1"/>
    <n v="259"/>
    <n v="3"/>
    <s v="Male"/>
    <n v="65"/>
    <n v="2"/>
    <n v="5"/>
    <x v="5"/>
    <x v="2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  <x v="1"/>
    <x v="2"/>
    <x v="3"/>
  </r>
  <r>
    <n v="27"/>
    <x v="1"/>
    <s v="Travel_Rarely"/>
    <n v="894"/>
    <x v="1"/>
    <x v="14"/>
    <n v="3"/>
    <s v="Medical"/>
    <n v="1"/>
    <n v="260"/>
    <n v="4"/>
    <s v="Female"/>
    <n v="99"/>
    <n v="3"/>
    <n v="1"/>
    <x v="1"/>
    <x v="1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  <x v="2"/>
    <x v="1"/>
    <x v="0"/>
  </r>
  <r>
    <n v="35"/>
    <x v="0"/>
    <s v="Travel_Rarely"/>
    <n v="556"/>
    <x v="1"/>
    <x v="5"/>
    <n v="2"/>
    <s v="Life Sciences"/>
    <n v="1"/>
    <n v="261"/>
    <n v="2"/>
    <s v="Male"/>
    <n v="50"/>
    <n v="2"/>
    <n v="2"/>
    <x v="3"/>
    <x v="2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  <x v="2"/>
    <x v="0"/>
    <x v="1"/>
  </r>
  <r>
    <n v="43"/>
    <x v="1"/>
    <s v="Non-Travel"/>
    <n v="1344"/>
    <x v="1"/>
    <x v="15"/>
    <n v="3"/>
    <s v="Medical"/>
    <n v="1"/>
    <n v="262"/>
    <n v="4"/>
    <s v="Male"/>
    <n v="37"/>
    <n v="4"/>
    <n v="1"/>
    <x v="1"/>
    <x v="0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  <x v="0"/>
    <x v="1"/>
    <x v="2"/>
  </r>
  <r>
    <n v="45"/>
    <x v="1"/>
    <s v="Non-Travel"/>
    <n v="1195"/>
    <x v="1"/>
    <x v="2"/>
    <n v="2"/>
    <s v="Medical"/>
    <n v="1"/>
    <n v="264"/>
    <n v="1"/>
    <s v="Male"/>
    <n v="65"/>
    <n v="2"/>
    <n v="4"/>
    <x v="5"/>
    <x v="0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  <x v="0"/>
    <x v="2"/>
    <x v="3"/>
  </r>
  <r>
    <n v="37"/>
    <x v="1"/>
    <s v="Travel_Rarely"/>
    <n v="290"/>
    <x v="1"/>
    <x v="11"/>
    <n v="3"/>
    <s v="Life Sciences"/>
    <n v="1"/>
    <n v="267"/>
    <n v="2"/>
    <s v="Male"/>
    <n v="65"/>
    <n v="4"/>
    <n v="1"/>
    <x v="1"/>
    <x v="3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  <x v="0"/>
    <x v="0"/>
    <x v="0"/>
  </r>
  <r>
    <n v="35"/>
    <x v="1"/>
    <s v="Travel_Frequently"/>
    <n v="138"/>
    <x v="1"/>
    <x v="2"/>
    <n v="3"/>
    <s v="Medical"/>
    <n v="1"/>
    <n v="269"/>
    <n v="2"/>
    <s v="Female"/>
    <n v="37"/>
    <n v="3"/>
    <n v="2"/>
    <x v="2"/>
    <x v="1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  <x v="2"/>
    <x v="0"/>
    <x v="0"/>
  </r>
  <r>
    <n v="42"/>
    <x v="1"/>
    <s v="Non-Travel"/>
    <n v="926"/>
    <x v="1"/>
    <x v="11"/>
    <n v="2"/>
    <s v="Medical"/>
    <n v="1"/>
    <n v="270"/>
    <n v="3"/>
    <s v="Female"/>
    <n v="36"/>
    <n v="3"/>
    <n v="2"/>
    <x v="3"/>
    <x v="2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  <x v="0"/>
    <x v="0"/>
    <x v="2"/>
  </r>
  <r>
    <n v="38"/>
    <x v="1"/>
    <s v="Travel_Rarely"/>
    <n v="1261"/>
    <x v="1"/>
    <x v="2"/>
    <n v="4"/>
    <s v="Life Sciences"/>
    <n v="1"/>
    <n v="271"/>
    <n v="4"/>
    <s v="Male"/>
    <n v="88"/>
    <n v="3"/>
    <n v="2"/>
    <x v="3"/>
    <x v="2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  <x v="0"/>
    <x v="0"/>
    <x v="1"/>
  </r>
  <r>
    <n v="38"/>
    <x v="1"/>
    <s v="Travel_Rarely"/>
    <n v="1084"/>
    <x v="1"/>
    <x v="22"/>
    <n v="3"/>
    <s v="Technical Degree"/>
    <n v="1"/>
    <n v="273"/>
    <n v="4"/>
    <s v="Male"/>
    <n v="54"/>
    <n v="3"/>
    <n v="2"/>
    <x v="3"/>
    <x v="0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  <x v="0"/>
    <x v="0"/>
    <x v="0"/>
  </r>
  <r>
    <n v="27"/>
    <x v="1"/>
    <s v="Travel_Frequently"/>
    <n v="472"/>
    <x v="1"/>
    <x v="0"/>
    <n v="1"/>
    <s v="Technical Degree"/>
    <n v="1"/>
    <n v="274"/>
    <n v="3"/>
    <s v="Male"/>
    <n v="60"/>
    <n v="2"/>
    <n v="2"/>
    <x v="3"/>
    <x v="3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  <x v="2"/>
    <x v="0"/>
    <x v="1"/>
  </r>
  <r>
    <n v="49"/>
    <x v="1"/>
    <s v="Non-Travel"/>
    <n v="1002"/>
    <x v="1"/>
    <x v="21"/>
    <n v="4"/>
    <s v="Life Sciences"/>
    <n v="1"/>
    <n v="275"/>
    <n v="4"/>
    <s v="Male"/>
    <n v="92"/>
    <n v="3"/>
    <n v="2"/>
    <x v="3"/>
    <x v="0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  <x v="1"/>
    <x v="0"/>
    <x v="0"/>
  </r>
  <r>
    <n v="34"/>
    <x v="1"/>
    <s v="Travel_Frequently"/>
    <n v="878"/>
    <x v="1"/>
    <x v="17"/>
    <n v="4"/>
    <s v="Medical"/>
    <n v="1"/>
    <n v="277"/>
    <n v="4"/>
    <s v="Male"/>
    <n v="43"/>
    <n v="3"/>
    <n v="1"/>
    <x v="1"/>
    <x v="2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  <x v="2"/>
    <x v="0"/>
    <x v="2"/>
  </r>
  <r>
    <n v="40"/>
    <x v="1"/>
    <s v="Travel_Rarely"/>
    <n v="905"/>
    <x v="1"/>
    <x v="10"/>
    <n v="2"/>
    <s v="Medical"/>
    <n v="1"/>
    <n v="281"/>
    <n v="3"/>
    <s v="Male"/>
    <n v="99"/>
    <n v="3"/>
    <n v="2"/>
    <x v="2"/>
    <x v="0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  <x v="0"/>
    <x v="1"/>
    <x v="0"/>
  </r>
  <r>
    <n v="38"/>
    <x v="0"/>
    <s v="Travel_Rarely"/>
    <n v="1180"/>
    <x v="1"/>
    <x v="22"/>
    <n v="1"/>
    <s v="Medical"/>
    <n v="1"/>
    <n v="282"/>
    <n v="2"/>
    <s v="Male"/>
    <n v="70"/>
    <n v="3"/>
    <n v="2"/>
    <x v="4"/>
    <x v="3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  <x v="0"/>
    <x v="0"/>
    <x v="1"/>
  </r>
  <r>
    <n v="29"/>
    <x v="0"/>
    <s v="Travel_Rarely"/>
    <n v="121"/>
    <x v="0"/>
    <x v="6"/>
    <n v="3"/>
    <s v="Marketing"/>
    <n v="1"/>
    <n v="283"/>
    <n v="2"/>
    <s v="Female"/>
    <n v="35"/>
    <n v="3"/>
    <n v="3"/>
    <x v="0"/>
    <x v="0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  <x v="2"/>
    <x v="2"/>
    <x v="0"/>
  </r>
  <r>
    <n v="22"/>
    <x v="1"/>
    <s v="Travel_Rarely"/>
    <n v="1136"/>
    <x v="1"/>
    <x v="12"/>
    <n v="3"/>
    <s v="Life Sciences"/>
    <n v="1"/>
    <n v="284"/>
    <n v="4"/>
    <s v="Male"/>
    <n v="60"/>
    <n v="4"/>
    <n v="1"/>
    <x v="1"/>
    <x v="1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  <x v="3"/>
    <x v="1"/>
    <x v="2"/>
  </r>
  <r>
    <n v="36"/>
    <x v="1"/>
    <s v="Travel_Frequently"/>
    <n v="635"/>
    <x v="1"/>
    <x v="21"/>
    <n v="1"/>
    <s v="Medical"/>
    <n v="1"/>
    <n v="286"/>
    <n v="2"/>
    <s v="Female"/>
    <n v="73"/>
    <n v="3"/>
    <n v="1"/>
    <x v="2"/>
    <x v="0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  <x v="0"/>
    <x v="1"/>
    <x v="0"/>
  </r>
  <r>
    <n v="40"/>
    <x v="1"/>
    <s v="Non-Travel"/>
    <n v="1151"/>
    <x v="1"/>
    <x v="14"/>
    <n v="5"/>
    <s v="Life Sciences"/>
    <n v="1"/>
    <n v="287"/>
    <n v="4"/>
    <s v="Male"/>
    <n v="63"/>
    <n v="2"/>
    <n v="2"/>
    <x v="4"/>
    <x v="0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  <x v="0"/>
    <x v="0"/>
    <x v="2"/>
  </r>
  <r>
    <n v="46"/>
    <x v="1"/>
    <s v="Travel_Rarely"/>
    <n v="644"/>
    <x v="1"/>
    <x v="0"/>
    <n v="4"/>
    <s v="Medical"/>
    <n v="1"/>
    <n v="288"/>
    <n v="4"/>
    <s v="Male"/>
    <n v="97"/>
    <n v="3"/>
    <n v="3"/>
    <x v="4"/>
    <x v="3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  <x v="1"/>
    <x v="2"/>
    <x v="2"/>
  </r>
  <r>
    <n v="32"/>
    <x v="0"/>
    <s v="Travel_Rarely"/>
    <n v="1045"/>
    <x v="0"/>
    <x v="18"/>
    <n v="4"/>
    <s v="Medical"/>
    <n v="1"/>
    <n v="291"/>
    <n v="4"/>
    <s v="Male"/>
    <n v="32"/>
    <n v="1"/>
    <n v="3"/>
    <x v="0"/>
    <x v="0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  <x v="2"/>
    <x v="2"/>
    <x v="3"/>
  </r>
  <r>
    <n v="30"/>
    <x v="1"/>
    <s v="Non-Travel"/>
    <n v="829"/>
    <x v="1"/>
    <x v="0"/>
    <n v="1"/>
    <s v="Life Sciences"/>
    <n v="1"/>
    <n v="292"/>
    <n v="3"/>
    <s v="Male"/>
    <n v="88"/>
    <n v="2"/>
    <n v="3"/>
    <x v="3"/>
    <x v="2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  <x v="2"/>
    <x v="2"/>
    <x v="3"/>
  </r>
  <r>
    <n v="27"/>
    <x v="1"/>
    <s v="Travel_Frequently"/>
    <n v="1242"/>
    <x v="0"/>
    <x v="25"/>
    <n v="3"/>
    <s v="Life Sciences"/>
    <n v="1"/>
    <n v="293"/>
    <n v="4"/>
    <s v="Female"/>
    <n v="90"/>
    <n v="3"/>
    <n v="2"/>
    <x v="0"/>
    <x v="2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  <x v="2"/>
    <x v="2"/>
    <x v="0"/>
  </r>
  <r>
    <n v="51"/>
    <x v="1"/>
    <s v="Travel_Rarely"/>
    <n v="1469"/>
    <x v="1"/>
    <x v="1"/>
    <n v="4"/>
    <s v="Life Sciences"/>
    <n v="1"/>
    <n v="296"/>
    <n v="2"/>
    <s v="Male"/>
    <n v="81"/>
    <n v="2"/>
    <n v="3"/>
    <x v="7"/>
    <x v="1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  <x v="1"/>
    <x v="2"/>
    <x v="0"/>
  </r>
  <r>
    <n v="30"/>
    <x v="0"/>
    <s v="Travel_Rarely"/>
    <n v="1005"/>
    <x v="1"/>
    <x v="3"/>
    <n v="3"/>
    <s v="Technical Degree"/>
    <n v="1"/>
    <n v="297"/>
    <n v="4"/>
    <s v="Female"/>
    <n v="88"/>
    <n v="3"/>
    <n v="1"/>
    <x v="1"/>
    <x v="3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  <x v="2"/>
    <x v="1"/>
    <x v="2"/>
  </r>
  <r>
    <n v="41"/>
    <x v="1"/>
    <s v="Travel_Rarely"/>
    <n v="896"/>
    <x v="0"/>
    <x v="16"/>
    <n v="3"/>
    <s v="Life Sciences"/>
    <n v="1"/>
    <n v="298"/>
    <n v="4"/>
    <s v="Female"/>
    <n v="75"/>
    <n v="3"/>
    <n v="3"/>
    <x v="5"/>
    <x v="0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  <x v="0"/>
    <x v="2"/>
    <x v="1"/>
  </r>
  <r>
    <n v="30"/>
    <x v="0"/>
    <s v="Travel_Frequently"/>
    <n v="334"/>
    <x v="0"/>
    <x v="9"/>
    <n v="4"/>
    <s v="Marketing"/>
    <n v="1"/>
    <n v="299"/>
    <n v="3"/>
    <s v="Female"/>
    <n v="52"/>
    <n v="2"/>
    <n v="2"/>
    <x v="0"/>
    <x v="3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  <x v="2"/>
    <x v="0"/>
    <x v="0"/>
  </r>
  <r>
    <n v="29"/>
    <x v="0"/>
    <s v="Travel_Rarely"/>
    <n v="992"/>
    <x v="1"/>
    <x v="0"/>
    <n v="3"/>
    <s v="Technical Degree"/>
    <n v="1"/>
    <n v="300"/>
    <n v="3"/>
    <s v="Male"/>
    <n v="85"/>
    <n v="3"/>
    <n v="1"/>
    <x v="1"/>
    <x v="2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  <x v="2"/>
    <x v="1"/>
    <x v="0"/>
  </r>
  <r>
    <n v="45"/>
    <x v="1"/>
    <s v="Non-Travel"/>
    <n v="1052"/>
    <x v="0"/>
    <x v="16"/>
    <n v="3"/>
    <s v="Medical"/>
    <n v="1"/>
    <n v="302"/>
    <n v="4"/>
    <s v="Female"/>
    <n v="57"/>
    <n v="2"/>
    <n v="3"/>
    <x v="0"/>
    <x v="0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  <x v="0"/>
    <x v="2"/>
    <x v="3"/>
  </r>
  <r>
    <n v="54"/>
    <x v="1"/>
    <s v="Travel_Rarely"/>
    <n v="1147"/>
    <x v="0"/>
    <x v="3"/>
    <n v="3"/>
    <s v="Marketing"/>
    <n v="1"/>
    <n v="303"/>
    <n v="4"/>
    <s v="Female"/>
    <n v="52"/>
    <n v="3"/>
    <n v="2"/>
    <x v="0"/>
    <x v="3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  <x v="1"/>
    <x v="0"/>
    <x v="0"/>
  </r>
  <r>
    <n v="36"/>
    <x v="1"/>
    <s v="Travel_Rarely"/>
    <n v="1396"/>
    <x v="1"/>
    <x v="12"/>
    <n v="2"/>
    <s v="Life Sciences"/>
    <n v="1"/>
    <n v="304"/>
    <n v="4"/>
    <s v="Male"/>
    <n v="62"/>
    <n v="3"/>
    <n v="2"/>
    <x v="2"/>
    <x v="1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  <x v="0"/>
    <x v="0"/>
    <x v="3"/>
  </r>
  <r>
    <n v="33"/>
    <x v="1"/>
    <s v="Travel_Rarely"/>
    <n v="147"/>
    <x v="1"/>
    <x v="18"/>
    <n v="4"/>
    <s v="Medical"/>
    <n v="1"/>
    <n v="305"/>
    <n v="3"/>
    <s v="Female"/>
    <n v="47"/>
    <n v="2"/>
    <n v="1"/>
    <x v="1"/>
    <x v="1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  <x v="2"/>
    <x v="1"/>
    <x v="2"/>
  </r>
  <r>
    <n v="37"/>
    <x v="1"/>
    <s v="Travel_Frequently"/>
    <n v="663"/>
    <x v="1"/>
    <x v="13"/>
    <n v="3"/>
    <s v="Other"/>
    <n v="1"/>
    <n v="306"/>
    <n v="2"/>
    <s v="Male"/>
    <n v="47"/>
    <n v="3"/>
    <n v="3"/>
    <x v="7"/>
    <x v="0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  <x v="0"/>
    <x v="2"/>
    <x v="0"/>
  </r>
  <r>
    <n v="38"/>
    <x v="1"/>
    <s v="Travel_Rarely"/>
    <n v="119"/>
    <x v="0"/>
    <x v="3"/>
    <n v="3"/>
    <s v="Life Sciences"/>
    <n v="1"/>
    <n v="307"/>
    <n v="1"/>
    <s v="Male"/>
    <n v="76"/>
    <n v="3"/>
    <n v="3"/>
    <x v="0"/>
    <x v="2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  <x v="0"/>
    <x v="2"/>
    <x v="3"/>
  </r>
  <r>
    <n v="31"/>
    <x v="1"/>
    <s v="Non-Travel"/>
    <n v="979"/>
    <x v="1"/>
    <x v="0"/>
    <n v="4"/>
    <s v="Medical"/>
    <n v="1"/>
    <n v="308"/>
    <n v="3"/>
    <s v="Male"/>
    <n v="90"/>
    <n v="1"/>
    <n v="2"/>
    <x v="3"/>
    <x v="2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  <x v="2"/>
    <x v="0"/>
    <x v="2"/>
  </r>
  <r>
    <n v="59"/>
    <x v="1"/>
    <s v="Travel_Rarely"/>
    <n v="142"/>
    <x v="1"/>
    <x v="3"/>
    <n v="3"/>
    <s v="Life Sciences"/>
    <n v="1"/>
    <n v="309"/>
    <n v="3"/>
    <s v="Male"/>
    <n v="70"/>
    <n v="2"/>
    <n v="1"/>
    <x v="1"/>
    <x v="0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  <x v="1"/>
    <x v="1"/>
    <x v="1"/>
  </r>
  <r>
    <n v="37"/>
    <x v="1"/>
    <s v="Travel_Frequently"/>
    <n v="319"/>
    <x v="0"/>
    <x v="18"/>
    <n v="4"/>
    <s v="Marketing"/>
    <n v="1"/>
    <n v="311"/>
    <n v="1"/>
    <s v="Male"/>
    <n v="41"/>
    <n v="3"/>
    <n v="1"/>
    <x v="6"/>
    <x v="0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  <x v="0"/>
    <x v="1"/>
    <x v="0"/>
  </r>
  <r>
    <n v="29"/>
    <x v="1"/>
    <s v="Travel_Frequently"/>
    <n v="1413"/>
    <x v="0"/>
    <x v="0"/>
    <n v="1"/>
    <s v="Medical"/>
    <n v="1"/>
    <n v="312"/>
    <n v="2"/>
    <s v="Female"/>
    <n v="42"/>
    <n v="3"/>
    <n v="3"/>
    <x v="0"/>
    <x v="0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  <x v="2"/>
    <x v="2"/>
    <x v="3"/>
  </r>
  <r>
    <n v="35"/>
    <x v="1"/>
    <s v="Travel_Frequently"/>
    <n v="944"/>
    <x v="0"/>
    <x v="0"/>
    <n v="3"/>
    <s v="Marketing"/>
    <n v="1"/>
    <n v="314"/>
    <n v="3"/>
    <s v="Female"/>
    <n v="92"/>
    <n v="3"/>
    <n v="3"/>
    <x v="0"/>
    <x v="2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  <x v="2"/>
    <x v="2"/>
    <x v="0"/>
  </r>
  <r>
    <n v="29"/>
    <x v="0"/>
    <s v="Travel_Rarely"/>
    <n v="896"/>
    <x v="1"/>
    <x v="21"/>
    <n v="1"/>
    <s v="Medical"/>
    <n v="1"/>
    <n v="315"/>
    <n v="3"/>
    <s v="Male"/>
    <n v="86"/>
    <n v="2"/>
    <n v="1"/>
    <x v="1"/>
    <x v="0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  <x v="2"/>
    <x v="1"/>
    <x v="2"/>
  </r>
  <r>
    <n v="52"/>
    <x v="1"/>
    <s v="Travel_Rarely"/>
    <n v="1323"/>
    <x v="1"/>
    <x v="2"/>
    <n v="3"/>
    <s v="Life Sciences"/>
    <n v="1"/>
    <n v="316"/>
    <n v="3"/>
    <s v="Female"/>
    <n v="89"/>
    <n v="2"/>
    <n v="1"/>
    <x v="2"/>
    <x v="0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  <x v="1"/>
    <x v="0"/>
    <x v="1"/>
  </r>
  <r>
    <n v="42"/>
    <x v="1"/>
    <s v="Travel_Rarely"/>
    <n v="532"/>
    <x v="1"/>
    <x v="18"/>
    <n v="2"/>
    <s v="Technical Degree"/>
    <n v="1"/>
    <n v="319"/>
    <n v="3"/>
    <s v="Male"/>
    <n v="58"/>
    <n v="3"/>
    <n v="5"/>
    <x v="5"/>
    <x v="0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  <x v="0"/>
    <x v="2"/>
    <x v="3"/>
  </r>
  <r>
    <n v="59"/>
    <x v="1"/>
    <s v="Travel_Rarely"/>
    <n v="818"/>
    <x v="2"/>
    <x v="16"/>
    <n v="2"/>
    <s v="Medical"/>
    <n v="1"/>
    <n v="321"/>
    <n v="2"/>
    <s v="Male"/>
    <n v="52"/>
    <n v="3"/>
    <n v="1"/>
    <x v="8"/>
    <x v="2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  <x v="1"/>
    <x v="1"/>
    <x v="1"/>
  </r>
  <r>
    <n v="50"/>
    <x v="1"/>
    <s v="Travel_Rarely"/>
    <n v="854"/>
    <x v="0"/>
    <x v="0"/>
    <n v="4"/>
    <s v="Medical"/>
    <n v="1"/>
    <n v="323"/>
    <n v="4"/>
    <s v="Female"/>
    <n v="68"/>
    <n v="3"/>
    <n v="5"/>
    <x v="5"/>
    <x v="0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  <x v="1"/>
    <x v="2"/>
    <x v="0"/>
  </r>
  <r>
    <n v="33"/>
    <x v="0"/>
    <s v="Travel_Rarely"/>
    <n v="813"/>
    <x v="1"/>
    <x v="24"/>
    <n v="3"/>
    <s v="Medical"/>
    <n v="1"/>
    <n v="325"/>
    <n v="3"/>
    <s v="Male"/>
    <n v="58"/>
    <n v="3"/>
    <n v="1"/>
    <x v="2"/>
    <x v="0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  <x v="2"/>
    <x v="1"/>
    <x v="2"/>
  </r>
  <r>
    <n v="43"/>
    <x v="1"/>
    <s v="Travel_Rarely"/>
    <n v="1034"/>
    <x v="0"/>
    <x v="7"/>
    <n v="3"/>
    <s v="Marketing"/>
    <n v="1"/>
    <n v="327"/>
    <n v="4"/>
    <s v="Female"/>
    <n v="80"/>
    <n v="3"/>
    <n v="4"/>
    <x v="5"/>
    <x v="0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  <x v="0"/>
    <x v="2"/>
    <x v="3"/>
  </r>
  <r>
    <n v="33"/>
    <x v="0"/>
    <s v="Travel_Rarely"/>
    <n v="465"/>
    <x v="1"/>
    <x v="2"/>
    <n v="2"/>
    <s v="Life Sciences"/>
    <n v="1"/>
    <n v="328"/>
    <n v="1"/>
    <s v="Female"/>
    <n v="39"/>
    <n v="3"/>
    <n v="1"/>
    <x v="2"/>
    <x v="3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  <x v="2"/>
    <x v="1"/>
    <x v="0"/>
  </r>
  <r>
    <n v="52"/>
    <x v="1"/>
    <s v="Non-Travel"/>
    <n v="771"/>
    <x v="0"/>
    <x v="2"/>
    <n v="4"/>
    <s v="Life Sciences"/>
    <n v="1"/>
    <n v="329"/>
    <n v="1"/>
    <s v="Male"/>
    <n v="79"/>
    <n v="2"/>
    <n v="5"/>
    <x v="5"/>
    <x v="2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  <x v="1"/>
    <x v="2"/>
    <x v="3"/>
  </r>
  <r>
    <n v="32"/>
    <x v="1"/>
    <s v="Travel_Rarely"/>
    <n v="1401"/>
    <x v="0"/>
    <x v="18"/>
    <n v="2"/>
    <s v="Life Sciences"/>
    <n v="1"/>
    <n v="330"/>
    <n v="3"/>
    <s v="Female"/>
    <n v="56"/>
    <n v="3"/>
    <n v="1"/>
    <x v="6"/>
    <x v="1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  <x v="2"/>
    <x v="0"/>
    <x v="2"/>
  </r>
  <r>
    <n v="32"/>
    <x v="0"/>
    <s v="Travel_Rarely"/>
    <n v="515"/>
    <x v="1"/>
    <x v="0"/>
    <n v="3"/>
    <s v="Life Sciences"/>
    <n v="1"/>
    <n v="331"/>
    <n v="4"/>
    <s v="Male"/>
    <n v="62"/>
    <n v="2"/>
    <n v="1"/>
    <x v="2"/>
    <x v="2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  <x v="2"/>
    <x v="0"/>
    <x v="2"/>
  </r>
  <r>
    <n v="39"/>
    <x v="1"/>
    <s v="Travel_Rarely"/>
    <n v="1431"/>
    <x v="1"/>
    <x v="0"/>
    <n v="4"/>
    <s v="Medical"/>
    <n v="1"/>
    <n v="332"/>
    <n v="3"/>
    <s v="Female"/>
    <n v="96"/>
    <n v="3"/>
    <n v="1"/>
    <x v="2"/>
    <x v="2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  <x v="0"/>
    <x v="1"/>
    <x v="2"/>
  </r>
  <r>
    <n v="32"/>
    <x v="1"/>
    <s v="Non-Travel"/>
    <n v="976"/>
    <x v="0"/>
    <x v="9"/>
    <n v="4"/>
    <s v="Marketing"/>
    <n v="1"/>
    <n v="333"/>
    <n v="3"/>
    <s v="Male"/>
    <n v="100"/>
    <n v="3"/>
    <n v="2"/>
    <x v="0"/>
    <x v="0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  <x v="2"/>
    <x v="0"/>
    <x v="2"/>
  </r>
  <r>
    <n v="41"/>
    <x v="1"/>
    <s v="Travel_Rarely"/>
    <n v="1411"/>
    <x v="1"/>
    <x v="10"/>
    <n v="2"/>
    <s v="Life Sciences"/>
    <n v="1"/>
    <n v="334"/>
    <n v="3"/>
    <s v="Male"/>
    <n v="36"/>
    <n v="3"/>
    <n v="2"/>
    <x v="1"/>
    <x v="3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  <x v="0"/>
    <x v="0"/>
    <x v="1"/>
  </r>
  <r>
    <n v="40"/>
    <x v="1"/>
    <s v="Travel_Rarely"/>
    <n v="1300"/>
    <x v="1"/>
    <x v="4"/>
    <n v="2"/>
    <s v="Technical Degree"/>
    <n v="1"/>
    <n v="335"/>
    <n v="1"/>
    <s v="Male"/>
    <n v="62"/>
    <n v="3"/>
    <n v="2"/>
    <x v="1"/>
    <x v="0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  <x v="0"/>
    <x v="0"/>
    <x v="0"/>
  </r>
  <r>
    <n v="45"/>
    <x v="1"/>
    <s v="Travel_Rarely"/>
    <n v="252"/>
    <x v="1"/>
    <x v="0"/>
    <n v="3"/>
    <s v="Other"/>
    <n v="1"/>
    <n v="336"/>
    <n v="3"/>
    <s v="Male"/>
    <n v="70"/>
    <n v="4"/>
    <n v="5"/>
    <x v="5"/>
    <x v="0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  <x v="0"/>
    <x v="2"/>
    <x v="3"/>
  </r>
  <r>
    <n v="31"/>
    <x v="1"/>
    <s v="Travel_Frequently"/>
    <n v="1327"/>
    <x v="1"/>
    <x v="3"/>
    <n v="4"/>
    <s v="Medical"/>
    <n v="1"/>
    <n v="337"/>
    <n v="2"/>
    <s v="Male"/>
    <n v="73"/>
    <n v="3"/>
    <n v="3"/>
    <x v="7"/>
    <x v="2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  <x v="2"/>
    <x v="2"/>
    <x v="1"/>
  </r>
  <r>
    <n v="33"/>
    <x v="1"/>
    <s v="Travel_Rarely"/>
    <n v="832"/>
    <x v="1"/>
    <x v="12"/>
    <n v="4"/>
    <s v="Life Sciences"/>
    <n v="1"/>
    <n v="338"/>
    <n v="3"/>
    <s v="Female"/>
    <n v="63"/>
    <n v="2"/>
    <n v="1"/>
    <x v="1"/>
    <x v="0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  <x v="2"/>
    <x v="1"/>
    <x v="1"/>
  </r>
  <r>
    <n v="34"/>
    <x v="1"/>
    <s v="Travel_Rarely"/>
    <n v="470"/>
    <x v="1"/>
    <x v="2"/>
    <n v="4"/>
    <s v="Life Sciences"/>
    <n v="1"/>
    <n v="339"/>
    <n v="4"/>
    <s v="Male"/>
    <n v="84"/>
    <n v="2"/>
    <n v="2"/>
    <x v="3"/>
    <x v="3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  <x v="2"/>
    <x v="0"/>
    <x v="3"/>
  </r>
  <r>
    <n v="37"/>
    <x v="1"/>
    <s v="Travel_Rarely"/>
    <n v="1017"/>
    <x v="1"/>
    <x v="0"/>
    <n v="2"/>
    <s v="Medical"/>
    <n v="1"/>
    <n v="340"/>
    <n v="3"/>
    <s v="Female"/>
    <n v="83"/>
    <n v="2"/>
    <n v="1"/>
    <x v="1"/>
    <x v="3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  <x v="0"/>
    <x v="0"/>
    <x v="2"/>
  </r>
  <r>
    <n v="45"/>
    <x v="1"/>
    <s v="Travel_Frequently"/>
    <n v="1199"/>
    <x v="1"/>
    <x v="15"/>
    <n v="4"/>
    <s v="Life Sciences"/>
    <n v="1"/>
    <n v="341"/>
    <n v="1"/>
    <s v="Male"/>
    <n v="77"/>
    <n v="4"/>
    <n v="2"/>
    <x v="3"/>
    <x v="2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  <x v="0"/>
    <x v="0"/>
    <x v="2"/>
  </r>
  <r>
    <n v="37"/>
    <x v="0"/>
    <s v="Travel_Frequently"/>
    <n v="504"/>
    <x v="1"/>
    <x v="17"/>
    <n v="3"/>
    <s v="Medical"/>
    <n v="1"/>
    <n v="342"/>
    <n v="1"/>
    <s v="Male"/>
    <n v="61"/>
    <n v="3"/>
    <n v="3"/>
    <x v="3"/>
    <x v="2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  <x v="0"/>
    <x v="2"/>
    <x v="1"/>
  </r>
  <r>
    <n v="39"/>
    <x v="1"/>
    <s v="Travel_Frequently"/>
    <n v="505"/>
    <x v="1"/>
    <x v="2"/>
    <n v="4"/>
    <s v="Technical Degree"/>
    <n v="1"/>
    <n v="343"/>
    <n v="3"/>
    <s v="Female"/>
    <n v="64"/>
    <n v="3"/>
    <n v="3"/>
    <x v="4"/>
    <x v="2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  <x v="0"/>
    <x v="2"/>
    <x v="3"/>
  </r>
  <r>
    <n v="29"/>
    <x v="1"/>
    <s v="Travel_Rarely"/>
    <n v="665"/>
    <x v="1"/>
    <x v="8"/>
    <n v="3"/>
    <s v="Life Sciences"/>
    <n v="1"/>
    <n v="346"/>
    <n v="3"/>
    <s v="Male"/>
    <n v="60"/>
    <n v="3"/>
    <n v="1"/>
    <x v="1"/>
    <x v="0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  <x v="2"/>
    <x v="1"/>
    <x v="0"/>
  </r>
  <r>
    <n v="42"/>
    <x v="1"/>
    <s v="Travel_Rarely"/>
    <n v="916"/>
    <x v="1"/>
    <x v="27"/>
    <n v="2"/>
    <s v="Life Sciences"/>
    <n v="1"/>
    <n v="347"/>
    <n v="4"/>
    <s v="Female"/>
    <n v="82"/>
    <n v="4"/>
    <n v="2"/>
    <x v="1"/>
    <x v="3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  <x v="0"/>
    <x v="0"/>
    <x v="2"/>
  </r>
  <r>
    <n v="29"/>
    <x v="1"/>
    <s v="Travel_Rarely"/>
    <n v="1247"/>
    <x v="0"/>
    <x v="25"/>
    <n v="2"/>
    <s v="Marketing"/>
    <n v="1"/>
    <n v="349"/>
    <n v="4"/>
    <s v="Male"/>
    <n v="45"/>
    <n v="3"/>
    <n v="2"/>
    <x v="0"/>
    <x v="0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  <x v="2"/>
    <x v="0"/>
    <x v="2"/>
  </r>
  <r>
    <n v="25"/>
    <x v="1"/>
    <s v="Travel_Rarely"/>
    <n v="685"/>
    <x v="1"/>
    <x v="0"/>
    <n v="3"/>
    <s v="Life Sciences"/>
    <n v="1"/>
    <n v="350"/>
    <n v="1"/>
    <s v="Female"/>
    <n v="62"/>
    <n v="3"/>
    <n v="2"/>
    <x v="3"/>
    <x v="2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  <x v="3"/>
    <x v="0"/>
    <x v="2"/>
  </r>
  <r>
    <n v="42"/>
    <x v="1"/>
    <s v="Travel_Rarely"/>
    <n v="269"/>
    <x v="1"/>
    <x v="2"/>
    <n v="3"/>
    <s v="Medical"/>
    <n v="1"/>
    <n v="351"/>
    <n v="4"/>
    <s v="Female"/>
    <n v="56"/>
    <n v="2"/>
    <n v="1"/>
    <x v="2"/>
    <x v="3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  <x v="0"/>
    <x v="1"/>
    <x v="0"/>
  </r>
  <r>
    <n v="40"/>
    <x v="1"/>
    <s v="Travel_Rarely"/>
    <n v="1416"/>
    <x v="1"/>
    <x v="2"/>
    <n v="2"/>
    <s v="Medical"/>
    <n v="1"/>
    <n v="352"/>
    <n v="1"/>
    <s v="Male"/>
    <n v="49"/>
    <n v="3"/>
    <n v="5"/>
    <x v="7"/>
    <x v="2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  <x v="0"/>
    <x v="2"/>
    <x v="3"/>
  </r>
  <r>
    <n v="51"/>
    <x v="1"/>
    <s v="Travel_Rarely"/>
    <n v="833"/>
    <x v="1"/>
    <x v="0"/>
    <n v="3"/>
    <s v="Life Sciences"/>
    <n v="1"/>
    <n v="353"/>
    <n v="3"/>
    <s v="Male"/>
    <n v="96"/>
    <n v="3"/>
    <n v="1"/>
    <x v="1"/>
    <x v="0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  <x v="1"/>
    <x v="1"/>
    <x v="1"/>
  </r>
  <r>
    <n v="31"/>
    <x v="0"/>
    <s v="Travel_Frequently"/>
    <n v="307"/>
    <x v="1"/>
    <x v="22"/>
    <n v="2"/>
    <s v="Medical"/>
    <n v="1"/>
    <n v="355"/>
    <n v="3"/>
    <s v="Male"/>
    <n v="71"/>
    <n v="2"/>
    <n v="1"/>
    <x v="2"/>
    <x v="1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  <x v="2"/>
    <x v="0"/>
    <x v="2"/>
  </r>
  <r>
    <n v="32"/>
    <x v="1"/>
    <s v="Travel_Frequently"/>
    <n v="1311"/>
    <x v="1"/>
    <x v="15"/>
    <n v="3"/>
    <s v="Life Sciences"/>
    <n v="1"/>
    <n v="359"/>
    <n v="2"/>
    <s v="Male"/>
    <n v="100"/>
    <n v="4"/>
    <n v="1"/>
    <x v="2"/>
    <x v="1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  <x v="2"/>
    <x v="1"/>
    <x v="2"/>
  </r>
  <r>
    <n v="38"/>
    <x v="1"/>
    <s v="Non-Travel"/>
    <n v="1327"/>
    <x v="0"/>
    <x v="2"/>
    <n v="2"/>
    <s v="Life Sciences"/>
    <n v="1"/>
    <n v="361"/>
    <n v="4"/>
    <s v="Male"/>
    <n v="39"/>
    <n v="2"/>
    <n v="2"/>
    <x v="0"/>
    <x v="0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  <x v="0"/>
    <x v="0"/>
    <x v="0"/>
  </r>
  <r>
    <n v="32"/>
    <x v="1"/>
    <s v="Travel_Rarely"/>
    <n v="128"/>
    <x v="1"/>
    <x v="2"/>
    <n v="1"/>
    <s v="Technical Degree"/>
    <n v="1"/>
    <n v="362"/>
    <n v="4"/>
    <s v="Male"/>
    <n v="84"/>
    <n v="2"/>
    <n v="2"/>
    <x v="2"/>
    <x v="3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  <x v="2"/>
    <x v="1"/>
    <x v="0"/>
  </r>
  <r>
    <n v="46"/>
    <x v="1"/>
    <s v="Travel_Rarely"/>
    <n v="488"/>
    <x v="0"/>
    <x v="2"/>
    <n v="3"/>
    <s v="Technical Degree"/>
    <n v="1"/>
    <n v="363"/>
    <n v="3"/>
    <s v="Female"/>
    <n v="75"/>
    <n v="1"/>
    <n v="4"/>
    <x v="5"/>
    <x v="1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  <x v="1"/>
    <x v="2"/>
    <x v="0"/>
  </r>
  <r>
    <n v="28"/>
    <x v="0"/>
    <s v="Travel_Rarely"/>
    <n v="529"/>
    <x v="1"/>
    <x v="2"/>
    <n v="4"/>
    <s v="Life Sciences"/>
    <n v="1"/>
    <n v="364"/>
    <n v="1"/>
    <s v="Male"/>
    <n v="79"/>
    <n v="3"/>
    <n v="1"/>
    <x v="2"/>
    <x v="2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  <x v="2"/>
    <x v="0"/>
    <x v="1"/>
  </r>
  <r>
    <n v="29"/>
    <x v="1"/>
    <s v="Travel_Rarely"/>
    <n v="1210"/>
    <x v="0"/>
    <x v="2"/>
    <n v="3"/>
    <s v="Medical"/>
    <n v="1"/>
    <n v="366"/>
    <n v="1"/>
    <s v="Male"/>
    <n v="78"/>
    <n v="2"/>
    <n v="2"/>
    <x v="0"/>
    <x v="1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  <x v="2"/>
    <x v="0"/>
    <x v="1"/>
  </r>
  <r>
    <n v="31"/>
    <x v="1"/>
    <s v="Travel_Rarely"/>
    <n v="1463"/>
    <x v="1"/>
    <x v="5"/>
    <n v="3"/>
    <s v="Medical"/>
    <n v="1"/>
    <n v="367"/>
    <n v="2"/>
    <s v="Male"/>
    <n v="64"/>
    <n v="2"/>
    <n v="2"/>
    <x v="4"/>
    <x v="0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  <x v="2"/>
    <x v="0"/>
    <x v="0"/>
  </r>
  <r>
    <n v="25"/>
    <x v="1"/>
    <s v="Non-Travel"/>
    <n v="675"/>
    <x v="1"/>
    <x v="12"/>
    <n v="2"/>
    <s v="Life Sciences"/>
    <n v="1"/>
    <n v="369"/>
    <n v="2"/>
    <s v="Male"/>
    <n v="85"/>
    <n v="4"/>
    <n v="2"/>
    <x v="4"/>
    <x v="3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  <x v="3"/>
    <x v="0"/>
    <x v="0"/>
  </r>
  <r>
    <n v="45"/>
    <x v="1"/>
    <s v="Travel_Rarely"/>
    <n v="1385"/>
    <x v="1"/>
    <x v="25"/>
    <n v="2"/>
    <s v="Medical"/>
    <n v="1"/>
    <n v="372"/>
    <n v="3"/>
    <s v="Male"/>
    <n v="79"/>
    <n v="3"/>
    <n v="4"/>
    <x v="4"/>
    <x v="0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  <x v="0"/>
    <x v="2"/>
    <x v="3"/>
  </r>
  <r>
    <n v="36"/>
    <x v="1"/>
    <s v="Travel_Rarely"/>
    <n v="1403"/>
    <x v="1"/>
    <x v="16"/>
    <n v="3"/>
    <s v="Life Sciences"/>
    <n v="1"/>
    <n v="373"/>
    <n v="4"/>
    <s v="Male"/>
    <n v="47"/>
    <n v="3"/>
    <n v="1"/>
    <x v="2"/>
    <x v="0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  <x v="0"/>
    <x v="0"/>
    <x v="3"/>
  </r>
  <r>
    <n v="55"/>
    <x v="1"/>
    <s v="Travel_Rarely"/>
    <n v="452"/>
    <x v="1"/>
    <x v="0"/>
    <n v="3"/>
    <s v="Medical"/>
    <n v="1"/>
    <n v="374"/>
    <n v="4"/>
    <s v="Male"/>
    <n v="81"/>
    <n v="3"/>
    <n v="5"/>
    <x v="5"/>
    <x v="3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  <x v="1"/>
    <x v="2"/>
    <x v="3"/>
  </r>
  <r>
    <n v="47"/>
    <x v="0"/>
    <s v="Non-Travel"/>
    <n v="666"/>
    <x v="1"/>
    <x v="22"/>
    <n v="4"/>
    <s v="Life Sciences"/>
    <n v="1"/>
    <n v="376"/>
    <n v="1"/>
    <s v="Male"/>
    <n v="88"/>
    <n v="3"/>
    <n v="3"/>
    <x v="5"/>
    <x v="1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  <x v="1"/>
    <x v="2"/>
    <x v="0"/>
  </r>
  <r>
    <n v="28"/>
    <x v="1"/>
    <s v="Travel_Rarely"/>
    <n v="1158"/>
    <x v="1"/>
    <x v="14"/>
    <n v="3"/>
    <s v="Medical"/>
    <n v="1"/>
    <n v="377"/>
    <n v="4"/>
    <s v="Male"/>
    <n v="94"/>
    <n v="3"/>
    <n v="1"/>
    <x v="1"/>
    <x v="0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  <x v="2"/>
    <x v="1"/>
    <x v="2"/>
  </r>
  <r>
    <n v="37"/>
    <x v="1"/>
    <s v="Travel_Rarely"/>
    <n v="228"/>
    <x v="0"/>
    <x v="16"/>
    <n v="4"/>
    <s v="Medical"/>
    <n v="1"/>
    <n v="378"/>
    <n v="3"/>
    <s v="Male"/>
    <n v="98"/>
    <n v="3"/>
    <n v="2"/>
    <x v="0"/>
    <x v="0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  <x v="0"/>
    <x v="0"/>
    <x v="2"/>
  </r>
  <r>
    <n v="21"/>
    <x v="1"/>
    <s v="Travel_Rarely"/>
    <n v="996"/>
    <x v="1"/>
    <x v="3"/>
    <n v="2"/>
    <s v="Medical"/>
    <n v="1"/>
    <n v="379"/>
    <n v="4"/>
    <s v="Male"/>
    <n v="100"/>
    <n v="2"/>
    <n v="1"/>
    <x v="1"/>
    <x v="2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  <x v="3"/>
    <x v="0"/>
    <x v="2"/>
  </r>
  <r>
    <n v="37"/>
    <x v="1"/>
    <s v="Non-Travel"/>
    <n v="728"/>
    <x v="1"/>
    <x v="0"/>
    <n v="4"/>
    <s v="Medical"/>
    <n v="1"/>
    <n v="380"/>
    <n v="1"/>
    <s v="Female"/>
    <n v="80"/>
    <n v="3"/>
    <n v="3"/>
    <x v="7"/>
    <x v="0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  <x v="0"/>
    <x v="2"/>
    <x v="2"/>
  </r>
  <r>
    <n v="35"/>
    <x v="1"/>
    <s v="Travel_Rarely"/>
    <n v="1315"/>
    <x v="1"/>
    <x v="23"/>
    <n v="3"/>
    <s v="Life Sciences"/>
    <n v="1"/>
    <n v="381"/>
    <n v="2"/>
    <s v="Female"/>
    <n v="71"/>
    <n v="4"/>
    <n v="3"/>
    <x v="5"/>
    <x v="1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  <x v="2"/>
    <x v="2"/>
    <x v="0"/>
  </r>
  <r>
    <n v="38"/>
    <x v="1"/>
    <s v="Travel_Rarely"/>
    <n v="322"/>
    <x v="0"/>
    <x v="15"/>
    <n v="2"/>
    <s v="Medical"/>
    <n v="1"/>
    <n v="382"/>
    <n v="1"/>
    <s v="Female"/>
    <n v="44"/>
    <n v="4"/>
    <n v="2"/>
    <x v="0"/>
    <x v="3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  <x v="0"/>
    <x v="0"/>
    <x v="0"/>
  </r>
  <r>
    <n v="26"/>
    <x v="1"/>
    <s v="Travel_Frequently"/>
    <n v="1479"/>
    <x v="1"/>
    <x v="0"/>
    <n v="3"/>
    <s v="Life Sciences"/>
    <n v="1"/>
    <n v="384"/>
    <n v="3"/>
    <s v="Female"/>
    <n v="84"/>
    <n v="3"/>
    <n v="2"/>
    <x v="3"/>
    <x v="1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  <x v="2"/>
    <x v="0"/>
    <x v="0"/>
  </r>
  <r>
    <n v="50"/>
    <x v="1"/>
    <s v="Travel_Rarely"/>
    <n v="797"/>
    <x v="1"/>
    <x v="18"/>
    <n v="1"/>
    <s v="Life Sciences"/>
    <n v="1"/>
    <n v="385"/>
    <n v="1"/>
    <s v="Male"/>
    <n v="96"/>
    <n v="3"/>
    <n v="5"/>
    <x v="7"/>
    <x v="1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  <x v="1"/>
    <x v="2"/>
    <x v="0"/>
  </r>
  <r>
    <n v="53"/>
    <x v="1"/>
    <s v="Travel_Rarely"/>
    <n v="1070"/>
    <x v="1"/>
    <x v="3"/>
    <n v="4"/>
    <s v="Medical"/>
    <n v="1"/>
    <n v="386"/>
    <n v="3"/>
    <s v="Male"/>
    <n v="45"/>
    <n v="3"/>
    <n v="4"/>
    <x v="7"/>
    <x v="2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  <x v="1"/>
    <x v="2"/>
    <x v="2"/>
  </r>
  <r>
    <n v="42"/>
    <x v="1"/>
    <s v="Travel_Rarely"/>
    <n v="635"/>
    <x v="0"/>
    <x v="0"/>
    <n v="1"/>
    <s v="Life Sciences"/>
    <n v="1"/>
    <n v="387"/>
    <n v="2"/>
    <s v="Male"/>
    <n v="99"/>
    <n v="3"/>
    <n v="2"/>
    <x v="0"/>
    <x v="2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  <x v="0"/>
    <x v="0"/>
    <x v="3"/>
  </r>
  <r>
    <n v="29"/>
    <x v="1"/>
    <s v="Travel_Frequently"/>
    <n v="442"/>
    <x v="0"/>
    <x v="2"/>
    <n v="2"/>
    <s v="Life Sciences"/>
    <n v="1"/>
    <n v="388"/>
    <n v="2"/>
    <s v="Male"/>
    <n v="44"/>
    <n v="3"/>
    <n v="2"/>
    <x v="0"/>
    <x v="0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  <x v="2"/>
    <x v="0"/>
    <x v="0"/>
  </r>
  <r>
    <n v="55"/>
    <x v="1"/>
    <s v="Travel_Rarely"/>
    <n v="147"/>
    <x v="1"/>
    <x v="25"/>
    <n v="2"/>
    <s v="Technical Degree"/>
    <n v="1"/>
    <n v="389"/>
    <n v="2"/>
    <s v="Male"/>
    <n v="37"/>
    <n v="3"/>
    <n v="2"/>
    <x v="2"/>
    <x v="0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  <x v="1"/>
    <x v="0"/>
    <x v="0"/>
  </r>
  <r>
    <n v="26"/>
    <x v="1"/>
    <s v="Travel_Frequently"/>
    <n v="496"/>
    <x v="1"/>
    <x v="13"/>
    <n v="2"/>
    <s v="Medical"/>
    <n v="1"/>
    <n v="390"/>
    <n v="1"/>
    <s v="Male"/>
    <n v="60"/>
    <n v="3"/>
    <n v="2"/>
    <x v="4"/>
    <x v="3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  <x v="2"/>
    <x v="0"/>
    <x v="2"/>
  </r>
  <r>
    <n v="37"/>
    <x v="1"/>
    <s v="Travel_Rarely"/>
    <n v="1372"/>
    <x v="1"/>
    <x v="0"/>
    <n v="3"/>
    <s v="Life Sciences"/>
    <n v="1"/>
    <n v="391"/>
    <n v="4"/>
    <s v="Female"/>
    <n v="42"/>
    <n v="3"/>
    <n v="1"/>
    <x v="1"/>
    <x v="0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  <x v="0"/>
    <x v="1"/>
    <x v="3"/>
  </r>
  <r>
    <n v="44"/>
    <x v="0"/>
    <s v="Travel_Frequently"/>
    <n v="920"/>
    <x v="1"/>
    <x v="4"/>
    <n v="3"/>
    <s v="Life Sciences"/>
    <n v="1"/>
    <n v="392"/>
    <n v="4"/>
    <s v="Male"/>
    <n v="43"/>
    <n v="3"/>
    <n v="1"/>
    <x v="2"/>
    <x v="2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  <x v="0"/>
    <x v="0"/>
    <x v="1"/>
  </r>
  <r>
    <n v="38"/>
    <x v="1"/>
    <s v="Travel_Rarely"/>
    <n v="688"/>
    <x v="1"/>
    <x v="5"/>
    <n v="4"/>
    <s v="Life Sciences"/>
    <n v="1"/>
    <n v="393"/>
    <n v="4"/>
    <s v="Male"/>
    <n v="82"/>
    <n v="3"/>
    <n v="2"/>
    <x v="4"/>
    <x v="0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  <x v="0"/>
    <x v="0"/>
    <x v="1"/>
  </r>
  <r>
    <n v="26"/>
    <x v="0"/>
    <s v="Travel_Rarely"/>
    <n v="1449"/>
    <x v="1"/>
    <x v="7"/>
    <n v="4"/>
    <s v="Medical"/>
    <n v="1"/>
    <n v="394"/>
    <n v="1"/>
    <s v="Male"/>
    <n v="45"/>
    <n v="3"/>
    <n v="1"/>
    <x v="2"/>
    <x v="1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  <x v="2"/>
    <x v="1"/>
    <x v="2"/>
  </r>
  <r>
    <n v="28"/>
    <x v="1"/>
    <s v="Travel_Rarely"/>
    <n v="1117"/>
    <x v="1"/>
    <x v="1"/>
    <n v="2"/>
    <s v="Life Sciences"/>
    <n v="1"/>
    <n v="395"/>
    <n v="4"/>
    <s v="Female"/>
    <n v="66"/>
    <n v="3"/>
    <n v="1"/>
    <x v="1"/>
    <x v="0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  <x v="2"/>
    <x v="0"/>
    <x v="2"/>
  </r>
  <r>
    <n v="49"/>
    <x v="1"/>
    <s v="Travel_Frequently"/>
    <n v="636"/>
    <x v="1"/>
    <x v="17"/>
    <n v="4"/>
    <s v="Life Sciences"/>
    <n v="1"/>
    <n v="396"/>
    <n v="3"/>
    <s v="Female"/>
    <n v="35"/>
    <n v="3"/>
    <n v="5"/>
    <x v="7"/>
    <x v="3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  <x v="1"/>
    <x v="2"/>
    <x v="2"/>
  </r>
  <r>
    <n v="36"/>
    <x v="1"/>
    <s v="Travel_Rarely"/>
    <n v="506"/>
    <x v="1"/>
    <x v="3"/>
    <n v="3"/>
    <s v="Technical Degree"/>
    <n v="1"/>
    <n v="397"/>
    <n v="3"/>
    <s v="Male"/>
    <n v="30"/>
    <n v="3"/>
    <n v="2"/>
    <x v="1"/>
    <x v="1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  <x v="0"/>
    <x v="0"/>
    <x v="0"/>
  </r>
  <r>
    <n v="31"/>
    <x v="1"/>
    <s v="Travel_Frequently"/>
    <n v="444"/>
    <x v="0"/>
    <x v="12"/>
    <n v="3"/>
    <s v="Marketing"/>
    <n v="1"/>
    <n v="399"/>
    <n v="4"/>
    <s v="Female"/>
    <n v="84"/>
    <n v="3"/>
    <n v="1"/>
    <x v="6"/>
    <x v="1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  <x v="2"/>
    <x v="1"/>
    <x v="1"/>
  </r>
  <r>
    <n v="26"/>
    <x v="0"/>
    <s v="Travel_Rarely"/>
    <n v="950"/>
    <x v="0"/>
    <x v="18"/>
    <n v="4"/>
    <s v="Marketing"/>
    <n v="1"/>
    <n v="401"/>
    <n v="4"/>
    <s v="Male"/>
    <n v="48"/>
    <n v="2"/>
    <n v="2"/>
    <x v="0"/>
    <x v="0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  <x v="2"/>
    <x v="0"/>
    <x v="0"/>
  </r>
  <r>
    <n v="37"/>
    <x v="1"/>
    <s v="Travel_Frequently"/>
    <n v="889"/>
    <x v="1"/>
    <x v="14"/>
    <n v="3"/>
    <s v="Medical"/>
    <n v="1"/>
    <n v="403"/>
    <n v="2"/>
    <s v="Male"/>
    <n v="53"/>
    <n v="3"/>
    <n v="1"/>
    <x v="1"/>
    <x v="0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  <x v="0"/>
    <x v="1"/>
    <x v="2"/>
  </r>
  <r>
    <n v="42"/>
    <x v="1"/>
    <s v="Travel_Frequently"/>
    <n v="555"/>
    <x v="0"/>
    <x v="9"/>
    <n v="3"/>
    <s v="Marketing"/>
    <n v="1"/>
    <n v="404"/>
    <n v="3"/>
    <s v="Female"/>
    <n v="77"/>
    <n v="3"/>
    <n v="4"/>
    <x v="0"/>
    <x v="1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  <x v="0"/>
    <x v="2"/>
    <x v="3"/>
  </r>
  <r>
    <n v="18"/>
    <x v="0"/>
    <s v="Travel_Rarely"/>
    <n v="230"/>
    <x v="1"/>
    <x v="3"/>
    <n v="3"/>
    <s v="Life Sciences"/>
    <n v="1"/>
    <n v="405"/>
    <n v="3"/>
    <s v="Male"/>
    <n v="54"/>
    <n v="3"/>
    <n v="1"/>
    <x v="2"/>
    <x v="2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  <x v="3"/>
    <x v="1"/>
    <x v="1"/>
  </r>
  <r>
    <n v="35"/>
    <x v="1"/>
    <s v="Travel_Rarely"/>
    <n v="1232"/>
    <x v="0"/>
    <x v="7"/>
    <n v="3"/>
    <s v="Marketing"/>
    <n v="1"/>
    <n v="406"/>
    <n v="3"/>
    <s v="Male"/>
    <n v="96"/>
    <n v="3"/>
    <n v="3"/>
    <x v="0"/>
    <x v="1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  <x v="2"/>
    <x v="2"/>
    <x v="3"/>
  </r>
  <r>
    <n v="36"/>
    <x v="1"/>
    <s v="Travel_Frequently"/>
    <n v="566"/>
    <x v="1"/>
    <x v="21"/>
    <n v="4"/>
    <s v="Life Sciences"/>
    <n v="1"/>
    <n v="407"/>
    <n v="3"/>
    <s v="Male"/>
    <n v="81"/>
    <n v="4"/>
    <n v="1"/>
    <x v="2"/>
    <x v="0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  <x v="0"/>
    <x v="0"/>
    <x v="1"/>
  </r>
  <r>
    <n v="51"/>
    <x v="1"/>
    <s v="Travel_Rarely"/>
    <n v="1302"/>
    <x v="1"/>
    <x v="2"/>
    <n v="3"/>
    <s v="Medical"/>
    <n v="1"/>
    <n v="408"/>
    <n v="4"/>
    <s v="Male"/>
    <n v="84"/>
    <n v="1"/>
    <n v="2"/>
    <x v="3"/>
    <x v="1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  <x v="1"/>
    <x v="0"/>
    <x v="2"/>
  </r>
  <r>
    <n v="41"/>
    <x v="1"/>
    <s v="Travel_Rarely"/>
    <n v="334"/>
    <x v="0"/>
    <x v="2"/>
    <n v="4"/>
    <s v="Life Sciences"/>
    <n v="1"/>
    <n v="410"/>
    <n v="4"/>
    <s v="Male"/>
    <n v="88"/>
    <n v="3"/>
    <n v="4"/>
    <x v="5"/>
    <x v="1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  <x v="0"/>
    <x v="2"/>
    <x v="3"/>
  </r>
  <r>
    <n v="18"/>
    <x v="1"/>
    <s v="Travel_Rarely"/>
    <n v="812"/>
    <x v="0"/>
    <x v="17"/>
    <n v="3"/>
    <s v="Medical"/>
    <n v="1"/>
    <n v="411"/>
    <n v="4"/>
    <s v="Female"/>
    <n v="69"/>
    <n v="2"/>
    <n v="1"/>
    <x v="6"/>
    <x v="2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  <x v="3"/>
    <x v="1"/>
    <x v="1"/>
  </r>
  <r>
    <n v="28"/>
    <x v="1"/>
    <s v="Travel_Rarely"/>
    <n v="1476"/>
    <x v="1"/>
    <x v="7"/>
    <n v="2"/>
    <s v="Medical"/>
    <n v="1"/>
    <n v="412"/>
    <n v="2"/>
    <s v="Male"/>
    <n v="68"/>
    <n v="4"/>
    <n v="2"/>
    <x v="4"/>
    <x v="3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  <x v="2"/>
    <x v="0"/>
    <x v="0"/>
  </r>
  <r>
    <n v="31"/>
    <x v="1"/>
    <s v="Travel_Rarely"/>
    <n v="218"/>
    <x v="0"/>
    <x v="15"/>
    <n v="3"/>
    <s v="Technical Degree"/>
    <n v="1"/>
    <n v="416"/>
    <n v="2"/>
    <s v="Male"/>
    <n v="100"/>
    <n v="4"/>
    <n v="2"/>
    <x v="0"/>
    <x v="0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  <x v="2"/>
    <x v="0"/>
    <x v="0"/>
  </r>
  <r>
    <n v="39"/>
    <x v="1"/>
    <s v="Travel_Rarely"/>
    <n v="1132"/>
    <x v="1"/>
    <x v="0"/>
    <n v="3"/>
    <s v="Medical"/>
    <n v="1"/>
    <n v="417"/>
    <n v="3"/>
    <s v="Male"/>
    <n v="48"/>
    <n v="4"/>
    <n v="3"/>
    <x v="4"/>
    <x v="0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  <x v="0"/>
    <x v="2"/>
    <x v="3"/>
  </r>
  <r>
    <n v="36"/>
    <x v="1"/>
    <s v="Non-Travel"/>
    <n v="1105"/>
    <x v="1"/>
    <x v="4"/>
    <n v="4"/>
    <s v="Life Sciences"/>
    <n v="1"/>
    <n v="419"/>
    <n v="2"/>
    <s v="Female"/>
    <n v="47"/>
    <n v="3"/>
    <n v="2"/>
    <x v="2"/>
    <x v="1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  <x v="0"/>
    <x v="0"/>
    <x v="0"/>
  </r>
  <r>
    <n v="32"/>
    <x v="1"/>
    <s v="Travel_Rarely"/>
    <n v="906"/>
    <x v="0"/>
    <x v="15"/>
    <n v="3"/>
    <s v="Life Sciences"/>
    <n v="1"/>
    <n v="420"/>
    <n v="4"/>
    <s v="Male"/>
    <n v="91"/>
    <n v="2"/>
    <n v="2"/>
    <x v="0"/>
    <x v="2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  <x v="2"/>
    <x v="0"/>
    <x v="3"/>
  </r>
  <r>
    <n v="38"/>
    <x v="1"/>
    <s v="Travel_Rarely"/>
    <n v="849"/>
    <x v="1"/>
    <x v="19"/>
    <n v="2"/>
    <s v="Life Sciences"/>
    <n v="1"/>
    <n v="421"/>
    <n v="1"/>
    <s v="Female"/>
    <n v="81"/>
    <n v="2"/>
    <n v="3"/>
    <x v="7"/>
    <x v="1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  <x v="0"/>
    <x v="2"/>
    <x v="0"/>
  </r>
  <r>
    <n v="58"/>
    <x v="1"/>
    <s v="Non-Travel"/>
    <n v="390"/>
    <x v="1"/>
    <x v="0"/>
    <n v="4"/>
    <s v="Life Sciences"/>
    <n v="1"/>
    <n v="422"/>
    <n v="4"/>
    <s v="Male"/>
    <n v="32"/>
    <n v="1"/>
    <n v="2"/>
    <x v="4"/>
    <x v="2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  <x v="1"/>
    <x v="0"/>
    <x v="2"/>
  </r>
  <r>
    <n v="31"/>
    <x v="1"/>
    <s v="Travel_Rarely"/>
    <n v="691"/>
    <x v="1"/>
    <x v="12"/>
    <n v="4"/>
    <s v="Technical Degree"/>
    <n v="1"/>
    <n v="423"/>
    <n v="3"/>
    <s v="Male"/>
    <n v="86"/>
    <n v="3"/>
    <n v="1"/>
    <x v="1"/>
    <x v="0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  <x v="2"/>
    <x v="0"/>
    <x v="2"/>
  </r>
  <r>
    <n v="31"/>
    <x v="1"/>
    <s v="Travel_Rarely"/>
    <n v="106"/>
    <x v="2"/>
    <x v="2"/>
    <n v="3"/>
    <s v="Human Resources"/>
    <n v="1"/>
    <n v="424"/>
    <n v="1"/>
    <s v="Male"/>
    <n v="62"/>
    <n v="2"/>
    <n v="2"/>
    <x v="8"/>
    <x v="3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  <x v="2"/>
    <x v="0"/>
    <x v="1"/>
  </r>
  <r>
    <n v="45"/>
    <x v="1"/>
    <s v="Travel_Frequently"/>
    <n v="1249"/>
    <x v="1"/>
    <x v="15"/>
    <n v="3"/>
    <s v="Life Sciences"/>
    <n v="1"/>
    <n v="425"/>
    <n v="1"/>
    <s v="Male"/>
    <n v="97"/>
    <n v="3"/>
    <n v="3"/>
    <x v="2"/>
    <x v="3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  <x v="0"/>
    <x v="0"/>
    <x v="3"/>
  </r>
  <r>
    <n v="31"/>
    <x v="1"/>
    <s v="Travel_Rarely"/>
    <n v="192"/>
    <x v="1"/>
    <x v="2"/>
    <n v="4"/>
    <s v="Life Sciences"/>
    <n v="1"/>
    <n v="426"/>
    <n v="3"/>
    <s v="Male"/>
    <n v="32"/>
    <n v="3"/>
    <n v="1"/>
    <x v="1"/>
    <x v="0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  <x v="2"/>
    <x v="1"/>
    <x v="1"/>
  </r>
  <r>
    <n v="33"/>
    <x v="1"/>
    <s v="Travel_Frequently"/>
    <n v="553"/>
    <x v="1"/>
    <x v="12"/>
    <n v="4"/>
    <s v="Life Sciences"/>
    <n v="1"/>
    <n v="428"/>
    <n v="4"/>
    <s v="Female"/>
    <n v="74"/>
    <n v="3"/>
    <n v="3"/>
    <x v="5"/>
    <x v="1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  <x v="2"/>
    <x v="2"/>
    <x v="0"/>
  </r>
  <r>
    <n v="39"/>
    <x v="1"/>
    <s v="Travel_Rarely"/>
    <n v="117"/>
    <x v="1"/>
    <x v="17"/>
    <n v="1"/>
    <s v="Medical"/>
    <n v="1"/>
    <n v="429"/>
    <n v="3"/>
    <s v="Male"/>
    <n v="99"/>
    <n v="3"/>
    <n v="4"/>
    <x v="5"/>
    <x v="3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  <x v="0"/>
    <x v="2"/>
    <x v="3"/>
  </r>
  <r>
    <n v="43"/>
    <x v="1"/>
    <s v="Travel_Frequently"/>
    <n v="185"/>
    <x v="1"/>
    <x v="17"/>
    <n v="4"/>
    <s v="Life Sciences"/>
    <n v="1"/>
    <n v="430"/>
    <n v="3"/>
    <s v="Female"/>
    <n v="33"/>
    <n v="3"/>
    <n v="1"/>
    <x v="2"/>
    <x v="0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  <x v="0"/>
    <x v="1"/>
    <x v="0"/>
  </r>
  <r>
    <n v="49"/>
    <x v="1"/>
    <s v="Travel_Rarely"/>
    <n v="1091"/>
    <x v="1"/>
    <x v="0"/>
    <n v="2"/>
    <s v="Technical Degree"/>
    <n v="1"/>
    <n v="431"/>
    <n v="3"/>
    <s v="Female"/>
    <n v="90"/>
    <n v="2"/>
    <n v="4"/>
    <x v="4"/>
    <x v="2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  <x v="1"/>
    <x v="2"/>
    <x v="0"/>
  </r>
  <r>
    <n v="52"/>
    <x v="0"/>
    <s v="Travel_Rarely"/>
    <n v="723"/>
    <x v="1"/>
    <x v="1"/>
    <n v="4"/>
    <s v="Medical"/>
    <n v="1"/>
    <n v="433"/>
    <n v="3"/>
    <s v="Male"/>
    <n v="85"/>
    <n v="2"/>
    <n v="2"/>
    <x v="1"/>
    <x v="1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  <x v="1"/>
    <x v="0"/>
    <x v="0"/>
  </r>
  <r>
    <n v="27"/>
    <x v="1"/>
    <s v="Travel_Rarely"/>
    <n v="1220"/>
    <x v="1"/>
    <x v="12"/>
    <n v="3"/>
    <s v="Life Sciences"/>
    <n v="1"/>
    <n v="434"/>
    <n v="3"/>
    <s v="Female"/>
    <n v="85"/>
    <n v="3"/>
    <n v="1"/>
    <x v="1"/>
    <x v="1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  <x v="2"/>
    <x v="1"/>
    <x v="2"/>
  </r>
  <r>
    <n v="32"/>
    <x v="1"/>
    <s v="Travel_Rarely"/>
    <n v="588"/>
    <x v="0"/>
    <x v="1"/>
    <n v="2"/>
    <s v="Technical Degree"/>
    <n v="1"/>
    <n v="436"/>
    <n v="3"/>
    <s v="Female"/>
    <n v="65"/>
    <n v="2"/>
    <n v="2"/>
    <x v="0"/>
    <x v="1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  <x v="2"/>
    <x v="0"/>
    <x v="3"/>
  </r>
  <r>
    <n v="27"/>
    <x v="1"/>
    <s v="Travel_Rarely"/>
    <n v="1377"/>
    <x v="0"/>
    <x v="2"/>
    <n v="3"/>
    <s v="Life Sciences"/>
    <n v="1"/>
    <n v="437"/>
    <n v="4"/>
    <s v="Male"/>
    <n v="74"/>
    <n v="3"/>
    <n v="2"/>
    <x v="0"/>
    <x v="2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  <x v="2"/>
    <x v="0"/>
    <x v="2"/>
  </r>
  <r>
    <n v="31"/>
    <x v="1"/>
    <s v="Travel_Rarely"/>
    <n v="691"/>
    <x v="0"/>
    <x v="15"/>
    <n v="3"/>
    <s v="Marketing"/>
    <n v="1"/>
    <n v="438"/>
    <n v="4"/>
    <s v="Male"/>
    <n v="73"/>
    <n v="3"/>
    <n v="2"/>
    <x v="0"/>
    <x v="0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  <x v="2"/>
    <x v="2"/>
    <x v="0"/>
  </r>
  <r>
    <n v="32"/>
    <x v="1"/>
    <s v="Travel_Rarely"/>
    <n v="1018"/>
    <x v="1"/>
    <x v="2"/>
    <n v="4"/>
    <s v="Medical"/>
    <n v="1"/>
    <n v="439"/>
    <n v="1"/>
    <s v="Female"/>
    <n v="74"/>
    <n v="4"/>
    <n v="2"/>
    <x v="1"/>
    <x v="0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  <x v="2"/>
    <x v="0"/>
    <x v="0"/>
  </r>
  <r>
    <n v="28"/>
    <x v="0"/>
    <s v="Travel_Rarely"/>
    <n v="1157"/>
    <x v="1"/>
    <x v="2"/>
    <n v="4"/>
    <s v="Medical"/>
    <n v="1"/>
    <n v="440"/>
    <n v="1"/>
    <s v="Male"/>
    <n v="84"/>
    <n v="1"/>
    <n v="1"/>
    <x v="1"/>
    <x v="0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  <x v="2"/>
    <x v="0"/>
    <x v="2"/>
  </r>
  <r>
    <n v="30"/>
    <x v="1"/>
    <s v="Travel_Rarely"/>
    <n v="1275"/>
    <x v="1"/>
    <x v="26"/>
    <n v="2"/>
    <s v="Medical"/>
    <n v="1"/>
    <n v="441"/>
    <n v="4"/>
    <s v="Female"/>
    <n v="64"/>
    <n v="3"/>
    <n v="2"/>
    <x v="1"/>
    <x v="0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  <x v="2"/>
    <x v="0"/>
    <x v="0"/>
  </r>
  <r>
    <n v="31"/>
    <x v="1"/>
    <s v="Travel_Frequently"/>
    <n v="798"/>
    <x v="1"/>
    <x v="15"/>
    <n v="2"/>
    <s v="Life Sciences"/>
    <n v="1"/>
    <n v="442"/>
    <n v="3"/>
    <s v="Female"/>
    <n v="48"/>
    <n v="2"/>
    <n v="3"/>
    <x v="3"/>
    <x v="2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  <x v="2"/>
    <x v="2"/>
    <x v="0"/>
  </r>
  <r>
    <n v="39"/>
    <x v="1"/>
    <s v="Travel_Frequently"/>
    <n v="672"/>
    <x v="1"/>
    <x v="15"/>
    <n v="2"/>
    <s v="Medical"/>
    <n v="1"/>
    <n v="444"/>
    <n v="3"/>
    <s v="Male"/>
    <n v="54"/>
    <n v="2"/>
    <n v="5"/>
    <x v="5"/>
    <x v="0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  <x v="0"/>
    <x v="2"/>
    <x v="3"/>
  </r>
  <r>
    <n v="39"/>
    <x v="0"/>
    <s v="Travel_Rarely"/>
    <n v="1162"/>
    <x v="0"/>
    <x v="3"/>
    <n v="2"/>
    <s v="Medical"/>
    <n v="1"/>
    <n v="445"/>
    <n v="4"/>
    <s v="Female"/>
    <n v="41"/>
    <n v="3"/>
    <n v="2"/>
    <x v="0"/>
    <x v="2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  <x v="0"/>
    <x v="0"/>
    <x v="1"/>
  </r>
  <r>
    <n v="33"/>
    <x v="1"/>
    <s v="Travel_Frequently"/>
    <n v="508"/>
    <x v="0"/>
    <x v="17"/>
    <n v="3"/>
    <s v="Marketing"/>
    <n v="1"/>
    <n v="446"/>
    <n v="2"/>
    <s v="Male"/>
    <n v="46"/>
    <n v="2"/>
    <n v="2"/>
    <x v="0"/>
    <x v="0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  <x v="2"/>
    <x v="0"/>
    <x v="0"/>
  </r>
  <r>
    <n v="47"/>
    <x v="1"/>
    <s v="Travel_Rarely"/>
    <n v="1482"/>
    <x v="1"/>
    <x v="12"/>
    <n v="5"/>
    <s v="Life Sciences"/>
    <n v="1"/>
    <n v="447"/>
    <n v="4"/>
    <s v="Male"/>
    <n v="42"/>
    <n v="3"/>
    <n v="5"/>
    <x v="7"/>
    <x v="2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  <x v="1"/>
    <x v="2"/>
    <x v="2"/>
  </r>
  <r>
    <n v="43"/>
    <x v="1"/>
    <s v="Travel_Frequently"/>
    <n v="559"/>
    <x v="1"/>
    <x v="17"/>
    <n v="4"/>
    <s v="Life Sciences"/>
    <n v="1"/>
    <n v="448"/>
    <n v="3"/>
    <s v="Female"/>
    <n v="82"/>
    <n v="2"/>
    <n v="2"/>
    <x v="2"/>
    <x v="2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  <x v="0"/>
    <x v="0"/>
    <x v="0"/>
  </r>
  <r>
    <n v="27"/>
    <x v="1"/>
    <s v="Non-Travel"/>
    <n v="210"/>
    <x v="0"/>
    <x v="0"/>
    <n v="1"/>
    <s v="Marketing"/>
    <n v="1"/>
    <n v="449"/>
    <n v="3"/>
    <s v="Male"/>
    <n v="73"/>
    <n v="3"/>
    <n v="2"/>
    <x v="0"/>
    <x v="1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  <x v="2"/>
    <x v="0"/>
    <x v="2"/>
  </r>
  <r>
    <n v="54"/>
    <x v="1"/>
    <s v="Travel_Frequently"/>
    <n v="928"/>
    <x v="1"/>
    <x v="25"/>
    <n v="4"/>
    <s v="Life Sciences"/>
    <n v="1"/>
    <n v="450"/>
    <n v="4"/>
    <s v="Female"/>
    <n v="31"/>
    <n v="3"/>
    <n v="2"/>
    <x v="1"/>
    <x v="2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  <x v="1"/>
    <x v="0"/>
    <x v="2"/>
  </r>
  <r>
    <n v="43"/>
    <x v="1"/>
    <s v="Travel_Rarely"/>
    <n v="1001"/>
    <x v="1"/>
    <x v="15"/>
    <n v="3"/>
    <s v="Life Sciences"/>
    <n v="1"/>
    <n v="451"/>
    <n v="3"/>
    <s v="Female"/>
    <n v="43"/>
    <n v="3"/>
    <n v="3"/>
    <x v="4"/>
    <x v="3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  <x v="0"/>
    <x v="2"/>
    <x v="1"/>
  </r>
  <r>
    <n v="45"/>
    <x v="1"/>
    <s v="Travel_Rarely"/>
    <n v="549"/>
    <x v="1"/>
    <x v="1"/>
    <n v="4"/>
    <s v="Other"/>
    <n v="1"/>
    <n v="452"/>
    <n v="4"/>
    <s v="Male"/>
    <n v="75"/>
    <n v="3"/>
    <n v="2"/>
    <x v="1"/>
    <x v="0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  <x v="0"/>
    <x v="0"/>
    <x v="0"/>
  </r>
  <r>
    <n v="40"/>
    <x v="1"/>
    <s v="Travel_Rarely"/>
    <n v="1124"/>
    <x v="0"/>
    <x v="0"/>
    <n v="2"/>
    <s v="Medical"/>
    <n v="1"/>
    <n v="453"/>
    <n v="2"/>
    <s v="Male"/>
    <n v="57"/>
    <n v="1"/>
    <n v="2"/>
    <x v="0"/>
    <x v="0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  <x v="0"/>
    <x v="2"/>
    <x v="2"/>
  </r>
  <r>
    <n v="29"/>
    <x v="0"/>
    <s v="Travel_Rarely"/>
    <n v="318"/>
    <x v="1"/>
    <x v="1"/>
    <n v="4"/>
    <s v="Other"/>
    <n v="1"/>
    <n v="454"/>
    <n v="2"/>
    <s v="Male"/>
    <n v="77"/>
    <n v="1"/>
    <n v="1"/>
    <x v="2"/>
    <x v="3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  <x v="2"/>
    <x v="1"/>
    <x v="0"/>
  </r>
  <r>
    <n v="29"/>
    <x v="1"/>
    <s v="Travel_Rarely"/>
    <n v="738"/>
    <x v="1"/>
    <x v="14"/>
    <n v="5"/>
    <s v="Other"/>
    <n v="1"/>
    <n v="455"/>
    <n v="2"/>
    <s v="Male"/>
    <n v="30"/>
    <n v="2"/>
    <n v="1"/>
    <x v="2"/>
    <x v="0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  <x v="2"/>
    <x v="0"/>
    <x v="2"/>
  </r>
  <r>
    <n v="30"/>
    <x v="1"/>
    <s v="Travel_Rarely"/>
    <n v="570"/>
    <x v="0"/>
    <x v="12"/>
    <n v="3"/>
    <s v="Marketing"/>
    <n v="1"/>
    <n v="456"/>
    <n v="4"/>
    <s v="Female"/>
    <n v="30"/>
    <n v="2"/>
    <n v="2"/>
    <x v="0"/>
    <x v="2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  <x v="2"/>
    <x v="0"/>
    <x v="0"/>
  </r>
  <r>
    <n v="27"/>
    <x v="1"/>
    <s v="Travel_Rarely"/>
    <n v="1130"/>
    <x v="0"/>
    <x v="1"/>
    <n v="4"/>
    <s v="Marketing"/>
    <n v="1"/>
    <n v="458"/>
    <n v="2"/>
    <s v="Female"/>
    <n v="56"/>
    <n v="3"/>
    <n v="2"/>
    <x v="0"/>
    <x v="1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  <x v="2"/>
    <x v="0"/>
    <x v="0"/>
  </r>
  <r>
    <n v="37"/>
    <x v="1"/>
    <s v="Travel_Rarely"/>
    <n v="1192"/>
    <x v="1"/>
    <x v="12"/>
    <n v="2"/>
    <s v="Medical"/>
    <n v="1"/>
    <n v="460"/>
    <n v="4"/>
    <s v="Male"/>
    <n v="61"/>
    <n v="3"/>
    <n v="2"/>
    <x v="3"/>
    <x v="0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  <x v="0"/>
    <x v="0"/>
    <x v="0"/>
  </r>
  <r>
    <n v="38"/>
    <x v="1"/>
    <s v="Travel_Rarely"/>
    <n v="343"/>
    <x v="1"/>
    <x v="8"/>
    <n v="2"/>
    <s v="Life Sciences"/>
    <n v="1"/>
    <n v="461"/>
    <n v="3"/>
    <s v="Male"/>
    <n v="92"/>
    <n v="2"/>
    <n v="3"/>
    <x v="7"/>
    <x v="0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  <x v="0"/>
    <x v="2"/>
    <x v="3"/>
  </r>
  <r>
    <n v="31"/>
    <x v="1"/>
    <s v="Travel_Rarely"/>
    <n v="1232"/>
    <x v="1"/>
    <x v="15"/>
    <n v="4"/>
    <s v="Medical"/>
    <n v="1"/>
    <n v="462"/>
    <n v="3"/>
    <s v="Female"/>
    <n v="39"/>
    <n v="3"/>
    <n v="3"/>
    <x v="3"/>
    <x v="0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  <x v="2"/>
    <x v="2"/>
    <x v="3"/>
  </r>
  <r>
    <n v="29"/>
    <x v="1"/>
    <s v="Travel_Rarely"/>
    <n v="144"/>
    <x v="0"/>
    <x v="17"/>
    <n v="1"/>
    <s v="Marketing"/>
    <n v="1"/>
    <n v="463"/>
    <n v="4"/>
    <s v="Female"/>
    <n v="39"/>
    <n v="2"/>
    <n v="2"/>
    <x v="0"/>
    <x v="1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  <x v="2"/>
    <x v="2"/>
    <x v="0"/>
  </r>
  <r>
    <n v="35"/>
    <x v="1"/>
    <s v="Travel_Rarely"/>
    <n v="1296"/>
    <x v="1"/>
    <x v="12"/>
    <n v="4"/>
    <s v="Technical Degree"/>
    <n v="1"/>
    <n v="464"/>
    <n v="3"/>
    <s v="Male"/>
    <n v="62"/>
    <n v="3"/>
    <n v="3"/>
    <x v="3"/>
    <x v="1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  <x v="2"/>
    <x v="2"/>
    <x v="3"/>
  </r>
  <r>
    <n v="23"/>
    <x v="1"/>
    <s v="Travel_Rarely"/>
    <n v="1309"/>
    <x v="1"/>
    <x v="9"/>
    <n v="1"/>
    <s v="Life Sciences"/>
    <n v="1"/>
    <n v="465"/>
    <n v="3"/>
    <s v="Male"/>
    <n v="83"/>
    <n v="3"/>
    <n v="1"/>
    <x v="1"/>
    <x v="0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  <x v="3"/>
    <x v="1"/>
    <x v="2"/>
  </r>
  <r>
    <n v="41"/>
    <x v="1"/>
    <s v="Travel_Rarely"/>
    <n v="483"/>
    <x v="1"/>
    <x v="16"/>
    <n v="3"/>
    <s v="Medical"/>
    <n v="1"/>
    <n v="466"/>
    <n v="4"/>
    <s v="Male"/>
    <n v="95"/>
    <n v="2"/>
    <n v="2"/>
    <x v="3"/>
    <x v="1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  <x v="0"/>
    <x v="0"/>
    <x v="2"/>
  </r>
  <r>
    <n v="47"/>
    <x v="1"/>
    <s v="Travel_Frequently"/>
    <n v="1309"/>
    <x v="0"/>
    <x v="18"/>
    <n v="1"/>
    <s v="Medical"/>
    <n v="1"/>
    <n v="467"/>
    <n v="2"/>
    <s v="Male"/>
    <n v="99"/>
    <n v="3"/>
    <n v="2"/>
    <x v="6"/>
    <x v="2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  <x v="1"/>
    <x v="1"/>
    <x v="1"/>
  </r>
  <r>
    <n v="42"/>
    <x v="1"/>
    <s v="Travel_Rarely"/>
    <n v="810"/>
    <x v="1"/>
    <x v="5"/>
    <n v="5"/>
    <s v="Life Sciences"/>
    <n v="1"/>
    <n v="468"/>
    <n v="1"/>
    <s v="Female"/>
    <n v="44"/>
    <n v="3"/>
    <n v="4"/>
    <x v="7"/>
    <x v="0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  <x v="0"/>
    <x v="2"/>
    <x v="1"/>
  </r>
  <r>
    <n v="29"/>
    <x v="1"/>
    <s v="Non-Travel"/>
    <n v="746"/>
    <x v="0"/>
    <x v="2"/>
    <n v="3"/>
    <s v="Life Sciences"/>
    <n v="1"/>
    <n v="469"/>
    <n v="4"/>
    <s v="Male"/>
    <n v="61"/>
    <n v="3"/>
    <n v="2"/>
    <x v="0"/>
    <x v="2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  <x v="2"/>
    <x v="0"/>
    <x v="2"/>
  </r>
  <r>
    <n v="42"/>
    <x v="1"/>
    <s v="Travel_Rarely"/>
    <n v="544"/>
    <x v="2"/>
    <x v="2"/>
    <n v="1"/>
    <s v="Technical Degree"/>
    <n v="1"/>
    <n v="470"/>
    <n v="3"/>
    <s v="Male"/>
    <n v="52"/>
    <n v="3"/>
    <n v="1"/>
    <x v="8"/>
    <x v="2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  <x v="0"/>
    <x v="1"/>
    <x v="2"/>
  </r>
  <r>
    <n v="32"/>
    <x v="1"/>
    <s v="Travel_Rarely"/>
    <n v="1062"/>
    <x v="1"/>
    <x v="2"/>
    <n v="3"/>
    <s v="Medical"/>
    <n v="1"/>
    <n v="471"/>
    <n v="3"/>
    <s v="Female"/>
    <n v="75"/>
    <n v="3"/>
    <n v="1"/>
    <x v="2"/>
    <x v="1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  <x v="2"/>
    <x v="1"/>
    <x v="0"/>
  </r>
  <r>
    <n v="48"/>
    <x v="1"/>
    <s v="Travel_Rarely"/>
    <n v="530"/>
    <x v="0"/>
    <x v="22"/>
    <n v="1"/>
    <s v="Medical"/>
    <n v="1"/>
    <n v="473"/>
    <n v="1"/>
    <s v="Female"/>
    <n v="91"/>
    <n v="3"/>
    <n v="3"/>
    <x v="5"/>
    <x v="2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  <x v="1"/>
    <x v="2"/>
    <x v="1"/>
  </r>
  <r>
    <n v="37"/>
    <x v="1"/>
    <s v="Travel_Rarely"/>
    <n v="1319"/>
    <x v="1"/>
    <x v="16"/>
    <n v="3"/>
    <s v="Medical"/>
    <n v="1"/>
    <n v="474"/>
    <n v="3"/>
    <s v="Male"/>
    <n v="51"/>
    <n v="4"/>
    <n v="2"/>
    <x v="1"/>
    <x v="3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  <x v="0"/>
    <x v="0"/>
    <x v="0"/>
  </r>
  <r>
    <n v="30"/>
    <x v="1"/>
    <s v="Non-Travel"/>
    <n v="641"/>
    <x v="0"/>
    <x v="19"/>
    <n v="2"/>
    <s v="Technical Degree"/>
    <n v="1"/>
    <n v="475"/>
    <n v="4"/>
    <s v="Female"/>
    <n v="85"/>
    <n v="3"/>
    <n v="2"/>
    <x v="0"/>
    <x v="2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  <x v="2"/>
    <x v="0"/>
    <x v="1"/>
  </r>
  <r>
    <n v="26"/>
    <x v="1"/>
    <s v="Travel_Rarely"/>
    <n v="933"/>
    <x v="0"/>
    <x v="0"/>
    <n v="3"/>
    <s v="Life Sciences"/>
    <n v="1"/>
    <n v="476"/>
    <n v="3"/>
    <s v="Male"/>
    <n v="57"/>
    <n v="3"/>
    <n v="2"/>
    <x v="0"/>
    <x v="2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  <x v="2"/>
    <x v="0"/>
    <x v="0"/>
  </r>
  <r>
    <n v="42"/>
    <x v="1"/>
    <s v="Travel_Rarely"/>
    <n v="1332"/>
    <x v="1"/>
    <x v="2"/>
    <n v="4"/>
    <s v="Other"/>
    <n v="1"/>
    <n v="477"/>
    <n v="1"/>
    <s v="Male"/>
    <n v="98"/>
    <n v="2"/>
    <n v="2"/>
    <x v="4"/>
    <x v="0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  <x v="0"/>
    <x v="0"/>
    <x v="1"/>
  </r>
  <r>
    <n v="21"/>
    <x v="0"/>
    <s v="Travel_Frequently"/>
    <n v="756"/>
    <x v="0"/>
    <x v="0"/>
    <n v="1"/>
    <s v="Technical Degree"/>
    <n v="1"/>
    <n v="478"/>
    <n v="1"/>
    <s v="Female"/>
    <n v="99"/>
    <n v="2"/>
    <n v="1"/>
    <x v="6"/>
    <x v="1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  <x v="3"/>
    <x v="1"/>
    <x v="2"/>
  </r>
  <r>
    <n v="36"/>
    <x v="1"/>
    <s v="Non-Travel"/>
    <n v="845"/>
    <x v="0"/>
    <x v="0"/>
    <n v="5"/>
    <s v="Medical"/>
    <n v="1"/>
    <n v="479"/>
    <n v="4"/>
    <s v="Female"/>
    <n v="45"/>
    <n v="3"/>
    <n v="2"/>
    <x v="0"/>
    <x v="0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  <x v="0"/>
    <x v="0"/>
    <x v="1"/>
  </r>
  <r>
    <n v="36"/>
    <x v="1"/>
    <s v="Travel_Frequently"/>
    <n v="541"/>
    <x v="0"/>
    <x v="3"/>
    <n v="4"/>
    <s v="Medical"/>
    <n v="1"/>
    <n v="481"/>
    <n v="1"/>
    <s v="Male"/>
    <n v="48"/>
    <n v="2"/>
    <n v="3"/>
    <x v="0"/>
    <x v="0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  <x v="0"/>
    <x v="2"/>
    <x v="3"/>
  </r>
  <r>
    <n v="57"/>
    <x v="1"/>
    <s v="Travel_Rarely"/>
    <n v="593"/>
    <x v="1"/>
    <x v="0"/>
    <n v="4"/>
    <s v="Medical"/>
    <n v="1"/>
    <n v="482"/>
    <n v="4"/>
    <s v="Male"/>
    <n v="88"/>
    <n v="3"/>
    <n v="2"/>
    <x v="4"/>
    <x v="2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  <x v="1"/>
    <x v="0"/>
    <x v="2"/>
  </r>
  <r>
    <n v="40"/>
    <x v="1"/>
    <s v="Travel_Rarely"/>
    <n v="1171"/>
    <x v="1"/>
    <x v="17"/>
    <n v="4"/>
    <s v="Life Sciences"/>
    <n v="1"/>
    <n v="483"/>
    <n v="4"/>
    <s v="Female"/>
    <n v="46"/>
    <n v="4"/>
    <n v="1"/>
    <x v="2"/>
    <x v="2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  <x v="0"/>
    <x v="1"/>
    <x v="0"/>
  </r>
  <r>
    <n v="21"/>
    <x v="1"/>
    <s v="Non-Travel"/>
    <n v="895"/>
    <x v="0"/>
    <x v="14"/>
    <n v="2"/>
    <s v="Medical"/>
    <n v="1"/>
    <n v="484"/>
    <n v="1"/>
    <s v="Male"/>
    <n v="39"/>
    <n v="3"/>
    <n v="1"/>
    <x v="6"/>
    <x v="0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  <x v="3"/>
    <x v="1"/>
    <x v="2"/>
  </r>
  <r>
    <n v="33"/>
    <x v="0"/>
    <s v="Travel_Rarely"/>
    <n v="350"/>
    <x v="0"/>
    <x v="12"/>
    <n v="3"/>
    <s v="Marketing"/>
    <n v="1"/>
    <n v="485"/>
    <n v="4"/>
    <s v="Female"/>
    <n v="34"/>
    <n v="3"/>
    <n v="1"/>
    <x v="6"/>
    <x v="2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  <x v="2"/>
    <x v="1"/>
    <x v="1"/>
  </r>
  <r>
    <n v="37"/>
    <x v="1"/>
    <s v="Travel_Rarely"/>
    <n v="921"/>
    <x v="1"/>
    <x v="17"/>
    <n v="3"/>
    <s v="Medical"/>
    <n v="1"/>
    <n v="486"/>
    <n v="3"/>
    <s v="Female"/>
    <n v="98"/>
    <n v="3"/>
    <n v="1"/>
    <x v="2"/>
    <x v="3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  <x v="0"/>
    <x v="0"/>
    <x v="2"/>
  </r>
  <r>
    <n v="46"/>
    <x v="1"/>
    <s v="Non-Travel"/>
    <n v="1144"/>
    <x v="1"/>
    <x v="15"/>
    <n v="4"/>
    <s v="Medical"/>
    <n v="1"/>
    <n v="487"/>
    <n v="3"/>
    <s v="Female"/>
    <n v="30"/>
    <n v="3"/>
    <n v="2"/>
    <x v="3"/>
    <x v="2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  <x v="1"/>
    <x v="0"/>
    <x v="1"/>
  </r>
  <r>
    <n v="41"/>
    <x v="0"/>
    <s v="Travel_Frequently"/>
    <n v="143"/>
    <x v="0"/>
    <x v="18"/>
    <n v="3"/>
    <s v="Marketing"/>
    <n v="1"/>
    <n v="488"/>
    <n v="1"/>
    <s v="Male"/>
    <n v="56"/>
    <n v="3"/>
    <n v="2"/>
    <x v="0"/>
    <x v="1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  <x v="0"/>
    <x v="2"/>
    <x v="0"/>
  </r>
  <r>
    <n v="50"/>
    <x v="1"/>
    <s v="Travel_Rarely"/>
    <n v="1046"/>
    <x v="1"/>
    <x v="17"/>
    <n v="3"/>
    <s v="Technical Degree"/>
    <n v="1"/>
    <n v="491"/>
    <n v="4"/>
    <s v="Male"/>
    <n v="100"/>
    <n v="2"/>
    <n v="3"/>
    <x v="4"/>
    <x v="0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  <x v="1"/>
    <x v="2"/>
    <x v="2"/>
  </r>
  <r>
    <n v="40"/>
    <x v="0"/>
    <s v="Travel_Rarely"/>
    <n v="575"/>
    <x v="0"/>
    <x v="23"/>
    <n v="2"/>
    <s v="Marketing"/>
    <n v="1"/>
    <n v="492"/>
    <n v="3"/>
    <s v="Male"/>
    <n v="68"/>
    <n v="2"/>
    <n v="2"/>
    <x v="0"/>
    <x v="2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  <x v="0"/>
    <x v="0"/>
    <x v="0"/>
  </r>
  <r>
    <n v="31"/>
    <x v="1"/>
    <s v="Travel_Rarely"/>
    <n v="408"/>
    <x v="1"/>
    <x v="14"/>
    <n v="4"/>
    <s v="Life Sciences"/>
    <n v="1"/>
    <n v="493"/>
    <n v="3"/>
    <s v="Male"/>
    <n v="42"/>
    <n v="2"/>
    <n v="1"/>
    <x v="1"/>
    <x v="1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  <x v="2"/>
    <x v="1"/>
    <x v="1"/>
  </r>
  <r>
    <n v="21"/>
    <x v="0"/>
    <s v="Travel_Rarely"/>
    <n v="156"/>
    <x v="0"/>
    <x v="20"/>
    <n v="3"/>
    <s v="Life Sciences"/>
    <n v="1"/>
    <n v="494"/>
    <n v="3"/>
    <s v="Female"/>
    <n v="90"/>
    <n v="4"/>
    <n v="1"/>
    <x v="6"/>
    <x v="1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  <x v="3"/>
    <x v="1"/>
    <x v="1"/>
  </r>
  <r>
    <n v="29"/>
    <x v="1"/>
    <s v="Travel_Rarely"/>
    <n v="1283"/>
    <x v="1"/>
    <x v="5"/>
    <n v="3"/>
    <s v="Life Sciences"/>
    <n v="1"/>
    <n v="495"/>
    <n v="4"/>
    <s v="Male"/>
    <n v="54"/>
    <n v="3"/>
    <n v="1"/>
    <x v="1"/>
    <x v="0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  <x v="2"/>
    <x v="1"/>
    <x v="2"/>
  </r>
  <r>
    <n v="35"/>
    <x v="1"/>
    <s v="Travel_Rarely"/>
    <n v="755"/>
    <x v="1"/>
    <x v="14"/>
    <n v="4"/>
    <s v="Life Sciences"/>
    <n v="1"/>
    <n v="496"/>
    <n v="3"/>
    <s v="Male"/>
    <n v="97"/>
    <n v="2"/>
    <n v="2"/>
    <x v="4"/>
    <x v="1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  <x v="2"/>
    <x v="0"/>
    <x v="1"/>
  </r>
  <r>
    <n v="27"/>
    <x v="1"/>
    <s v="Travel_Rarely"/>
    <n v="1469"/>
    <x v="1"/>
    <x v="0"/>
    <n v="2"/>
    <s v="Medical"/>
    <n v="1"/>
    <n v="497"/>
    <n v="4"/>
    <s v="Male"/>
    <n v="82"/>
    <n v="3"/>
    <n v="1"/>
    <x v="2"/>
    <x v="1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  <x v="2"/>
    <x v="0"/>
    <x v="2"/>
  </r>
  <r>
    <n v="28"/>
    <x v="1"/>
    <s v="Travel_Rarely"/>
    <n v="304"/>
    <x v="0"/>
    <x v="14"/>
    <n v="4"/>
    <s v="Life Sciences"/>
    <n v="1"/>
    <n v="498"/>
    <n v="2"/>
    <s v="Male"/>
    <n v="92"/>
    <n v="3"/>
    <n v="2"/>
    <x v="0"/>
    <x v="0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  <x v="2"/>
    <x v="0"/>
    <x v="0"/>
  </r>
  <r>
    <n v="49"/>
    <x v="1"/>
    <s v="Travel_Rarely"/>
    <n v="1261"/>
    <x v="1"/>
    <x v="15"/>
    <n v="3"/>
    <s v="Other"/>
    <n v="1"/>
    <n v="499"/>
    <n v="2"/>
    <s v="Male"/>
    <n v="31"/>
    <n v="2"/>
    <n v="3"/>
    <x v="4"/>
    <x v="2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  <x v="1"/>
    <x v="2"/>
    <x v="2"/>
  </r>
  <r>
    <n v="51"/>
    <x v="1"/>
    <s v="Travel_Rarely"/>
    <n v="1178"/>
    <x v="0"/>
    <x v="24"/>
    <n v="2"/>
    <s v="Life Sciences"/>
    <n v="1"/>
    <n v="500"/>
    <n v="3"/>
    <s v="Female"/>
    <n v="87"/>
    <n v="3"/>
    <n v="2"/>
    <x v="0"/>
    <x v="0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  <x v="1"/>
    <x v="0"/>
    <x v="0"/>
  </r>
  <r>
    <n v="36"/>
    <x v="1"/>
    <s v="Travel_Rarely"/>
    <n v="329"/>
    <x v="1"/>
    <x v="2"/>
    <n v="3"/>
    <s v="Life Sciences"/>
    <n v="1"/>
    <n v="501"/>
    <n v="4"/>
    <s v="Female"/>
    <n v="96"/>
    <n v="3"/>
    <n v="1"/>
    <x v="1"/>
    <x v="2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  <x v="0"/>
    <x v="1"/>
    <x v="1"/>
  </r>
  <r>
    <n v="34"/>
    <x v="0"/>
    <s v="Non-Travel"/>
    <n v="1362"/>
    <x v="0"/>
    <x v="10"/>
    <n v="3"/>
    <s v="Marketing"/>
    <n v="1"/>
    <n v="502"/>
    <n v="1"/>
    <s v="Male"/>
    <n v="67"/>
    <n v="4"/>
    <n v="2"/>
    <x v="0"/>
    <x v="0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  <x v="2"/>
    <x v="0"/>
    <x v="2"/>
  </r>
  <r>
    <n v="55"/>
    <x v="1"/>
    <s v="Travel_Rarely"/>
    <n v="1311"/>
    <x v="1"/>
    <x v="2"/>
    <n v="3"/>
    <s v="Life Sciences"/>
    <n v="1"/>
    <n v="505"/>
    <n v="3"/>
    <s v="Female"/>
    <n v="97"/>
    <n v="3"/>
    <n v="4"/>
    <x v="5"/>
    <x v="0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  <x v="1"/>
    <x v="2"/>
    <x v="2"/>
  </r>
  <r>
    <n v="24"/>
    <x v="1"/>
    <s v="Travel_Rarely"/>
    <n v="1371"/>
    <x v="0"/>
    <x v="17"/>
    <n v="4"/>
    <s v="Marketing"/>
    <n v="1"/>
    <n v="507"/>
    <n v="4"/>
    <s v="Female"/>
    <n v="77"/>
    <n v="3"/>
    <n v="2"/>
    <x v="0"/>
    <x v="2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  <x v="3"/>
    <x v="0"/>
    <x v="2"/>
  </r>
  <r>
    <n v="30"/>
    <x v="1"/>
    <s v="Travel_Rarely"/>
    <n v="202"/>
    <x v="0"/>
    <x v="2"/>
    <n v="1"/>
    <s v="Technical Degree"/>
    <n v="1"/>
    <n v="508"/>
    <n v="3"/>
    <s v="Male"/>
    <n v="72"/>
    <n v="3"/>
    <n v="1"/>
    <x v="6"/>
    <x v="1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  <x v="2"/>
    <x v="1"/>
    <x v="1"/>
  </r>
  <r>
    <n v="26"/>
    <x v="0"/>
    <s v="Travel_Frequently"/>
    <n v="575"/>
    <x v="1"/>
    <x v="3"/>
    <n v="1"/>
    <s v="Technical Degree"/>
    <n v="1"/>
    <n v="510"/>
    <n v="3"/>
    <s v="Male"/>
    <n v="73"/>
    <n v="3"/>
    <n v="1"/>
    <x v="1"/>
    <x v="3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  <x v="2"/>
    <x v="0"/>
    <x v="0"/>
  </r>
  <r>
    <n v="22"/>
    <x v="1"/>
    <s v="Travel_Rarely"/>
    <n v="253"/>
    <x v="1"/>
    <x v="13"/>
    <n v="3"/>
    <s v="Medical"/>
    <n v="1"/>
    <n v="511"/>
    <n v="1"/>
    <s v="Female"/>
    <n v="43"/>
    <n v="3"/>
    <n v="1"/>
    <x v="1"/>
    <x v="1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  <x v="3"/>
    <x v="1"/>
    <x v="1"/>
  </r>
  <r>
    <n v="36"/>
    <x v="1"/>
    <s v="Travel_Rarely"/>
    <n v="164"/>
    <x v="0"/>
    <x v="2"/>
    <n v="2"/>
    <s v="Medical"/>
    <n v="1"/>
    <n v="513"/>
    <n v="2"/>
    <s v="Male"/>
    <n v="61"/>
    <n v="2"/>
    <n v="3"/>
    <x v="0"/>
    <x v="2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  <x v="0"/>
    <x v="2"/>
    <x v="0"/>
  </r>
  <r>
    <n v="30"/>
    <x v="0"/>
    <s v="Travel_Frequently"/>
    <n v="464"/>
    <x v="1"/>
    <x v="18"/>
    <n v="3"/>
    <s v="Technical Degree"/>
    <n v="1"/>
    <n v="514"/>
    <n v="3"/>
    <s v="Male"/>
    <n v="40"/>
    <n v="3"/>
    <n v="1"/>
    <x v="1"/>
    <x v="0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  <x v="2"/>
    <x v="1"/>
    <x v="1"/>
  </r>
  <r>
    <n v="37"/>
    <x v="1"/>
    <s v="Travel_Rarely"/>
    <n v="1107"/>
    <x v="1"/>
    <x v="24"/>
    <n v="3"/>
    <s v="Life Sciences"/>
    <n v="1"/>
    <n v="515"/>
    <n v="4"/>
    <s v="Female"/>
    <n v="95"/>
    <n v="3"/>
    <n v="1"/>
    <x v="2"/>
    <x v="3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  <x v="0"/>
    <x v="0"/>
    <x v="3"/>
  </r>
  <r>
    <n v="40"/>
    <x v="1"/>
    <s v="Travel_Rarely"/>
    <n v="759"/>
    <x v="0"/>
    <x v="2"/>
    <n v="2"/>
    <s v="Marketing"/>
    <n v="1"/>
    <n v="516"/>
    <n v="4"/>
    <s v="Female"/>
    <n v="46"/>
    <n v="3"/>
    <n v="2"/>
    <x v="0"/>
    <x v="1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  <x v="0"/>
    <x v="0"/>
    <x v="2"/>
  </r>
  <r>
    <n v="42"/>
    <x v="1"/>
    <s v="Travel_Rarely"/>
    <n v="201"/>
    <x v="1"/>
    <x v="0"/>
    <n v="4"/>
    <s v="Life Sciences"/>
    <n v="1"/>
    <n v="517"/>
    <n v="2"/>
    <s v="Female"/>
    <n v="95"/>
    <n v="3"/>
    <n v="1"/>
    <x v="2"/>
    <x v="3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  <x v="0"/>
    <x v="1"/>
    <x v="2"/>
  </r>
  <r>
    <n v="37"/>
    <x v="1"/>
    <s v="Travel_Rarely"/>
    <n v="1305"/>
    <x v="1"/>
    <x v="17"/>
    <n v="4"/>
    <s v="Life Sciences"/>
    <n v="1"/>
    <n v="518"/>
    <n v="3"/>
    <s v="Male"/>
    <n v="49"/>
    <n v="3"/>
    <n v="2"/>
    <x v="3"/>
    <x v="1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  <x v="0"/>
    <x v="0"/>
    <x v="1"/>
  </r>
  <r>
    <n v="43"/>
    <x v="1"/>
    <s v="Travel_Rarely"/>
    <n v="982"/>
    <x v="1"/>
    <x v="20"/>
    <n v="3"/>
    <s v="Life Sciences"/>
    <n v="1"/>
    <n v="520"/>
    <n v="1"/>
    <s v="Male"/>
    <n v="59"/>
    <n v="2"/>
    <n v="4"/>
    <x v="7"/>
    <x v="1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  <x v="0"/>
    <x v="2"/>
    <x v="3"/>
  </r>
  <r>
    <n v="40"/>
    <x v="1"/>
    <s v="Travel_Rarely"/>
    <n v="555"/>
    <x v="1"/>
    <x v="2"/>
    <n v="3"/>
    <s v="Medical"/>
    <n v="1"/>
    <n v="521"/>
    <n v="2"/>
    <s v="Female"/>
    <n v="78"/>
    <n v="2"/>
    <n v="2"/>
    <x v="2"/>
    <x v="2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  <x v="0"/>
    <x v="0"/>
    <x v="1"/>
  </r>
  <r>
    <n v="54"/>
    <x v="1"/>
    <s v="Travel_Rarely"/>
    <n v="821"/>
    <x v="1"/>
    <x v="12"/>
    <n v="2"/>
    <s v="Medical"/>
    <n v="1"/>
    <n v="522"/>
    <n v="1"/>
    <s v="Male"/>
    <n v="86"/>
    <n v="3"/>
    <n v="5"/>
    <x v="7"/>
    <x v="3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  <x v="1"/>
    <x v="2"/>
    <x v="2"/>
  </r>
  <r>
    <n v="34"/>
    <x v="1"/>
    <s v="Non-Travel"/>
    <n v="1381"/>
    <x v="0"/>
    <x v="18"/>
    <n v="4"/>
    <s v="Marketing"/>
    <n v="1"/>
    <n v="523"/>
    <n v="3"/>
    <s v="Female"/>
    <n v="72"/>
    <n v="3"/>
    <n v="2"/>
    <x v="0"/>
    <x v="2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  <x v="2"/>
    <x v="0"/>
    <x v="2"/>
  </r>
  <r>
    <n v="31"/>
    <x v="1"/>
    <s v="Travel_Rarely"/>
    <n v="480"/>
    <x v="1"/>
    <x v="15"/>
    <n v="2"/>
    <s v="Medical"/>
    <n v="1"/>
    <n v="524"/>
    <n v="2"/>
    <s v="Female"/>
    <n v="31"/>
    <n v="3"/>
    <n v="2"/>
    <x v="3"/>
    <x v="3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  <x v="2"/>
    <x v="0"/>
    <x v="3"/>
  </r>
  <r>
    <n v="43"/>
    <x v="1"/>
    <s v="Travel_Frequently"/>
    <n v="313"/>
    <x v="1"/>
    <x v="11"/>
    <n v="3"/>
    <s v="Medical"/>
    <n v="1"/>
    <n v="525"/>
    <n v="4"/>
    <s v="Male"/>
    <n v="61"/>
    <n v="3"/>
    <n v="1"/>
    <x v="2"/>
    <x v="0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  <x v="0"/>
    <x v="1"/>
    <x v="2"/>
  </r>
  <r>
    <n v="43"/>
    <x v="1"/>
    <s v="Travel_Rarely"/>
    <n v="1473"/>
    <x v="1"/>
    <x v="1"/>
    <n v="4"/>
    <s v="Other"/>
    <n v="1"/>
    <n v="526"/>
    <n v="3"/>
    <s v="Female"/>
    <n v="74"/>
    <n v="3"/>
    <n v="2"/>
    <x v="4"/>
    <x v="2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  <x v="0"/>
    <x v="0"/>
    <x v="2"/>
  </r>
  <r>
    <n v="25"/>
    <x v="1"/>
    <s v="Travel_Rarely"/>
    <n v="891"/>
    <x v="0"/>
    <x v="18"/>
    <n v="2"/>
    <s v="Life Sciences"/>
    <n v="1"/>
    <n v="527"/>
    <n v="2"/>
    <s v="Female"/>
    <n v="99"/>
    <n v="2"/>
    <n v="2"/>
    <x v="0"/>
    <x v="0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  <x v="3"/>
    <x v="0"/>
    <x v="2"/>
  </r>
  <r>
    <n v="37"/>
    <x v="1"/>
    <s v="Non-Travel"/>
    <n v="1063"/>
    <x v="1"/>
    <x v="19"/>
    <n v="5"/>
    <s v="Medical"/>
    <n v="1"/>
    <n v="529"/>
    <n v="2"/>
    <s v="Female"/>
    <n v="72"/>
    <n v="3"/>
    <n v="2"/>
    <x v="1"/>
    <x v="2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  <x v="0"/>
    <x v="0"/>
    <x v="3"/>
  </r>
  <r>
    <n v="31"/>
    <x v="1"/>
    <s v="Travel_Rarely"/>
    <n v="329"/>
    <x v="1"/>
    <x v="0"/>
    <n v="2"/>
    <s v="Life Sciences"/>
    <n v="1"/>
    <n v="530"/>
    <n v="4"/>
    <s v="Male"/>
    <n v="98"/>
    <n v="2"/>
    <n v="1"/>
    <x v="2"/>
    <x v="3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  <x v="2"/>
    <x v="1"/>
    <x v="2"/>
  </r>
  <r>
    <n v="39"/>
    <x v="1"/>
    <s v="Travel_Frequently"/>
    <n v="1218"/>
    <x v="1"/>
    <x v="0"/>
    <n v="1"/>
    <s v="Life Sciences"/>
    <n v="1"/>
    <n v="531"/>
    <n v="2"/>
    <s v="Male"/>
    <n v="52"/>
    <n v="3"/>
    <n v="5"/>
    <x v="5"/>
    <x v="2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  <x v="0"/>
    <x v="2"/>
    <x v="3"/>
  </r>
  <r>
    <n v="56"/>
    <x v="1"/>
    <s v="Travel_Frequently"/>
    <n v="906"/>
    <x v="0"/>
    <x v="16"/>
    <n v="3"/>
    <s v="Life Sciences"/>
    <n v="1"/>
    <n v="532"/>
    <n v="3"/>
    <s v="Female"/>
    <n v="86"/>
    <n v="4"/>
    <n v="4"/>
    <x v="0"/>
    <x v="3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  <x v="1"/>
    <x v="2"/>
    <x v="0"/>
  </r>
  <r>
    <n v="30"/>
    <x v="1"/>
    <s v="Travel_Rarely"/>
    <n v="1082"/>
    <x v="0"/>
    <x v="20"/>
    <n v="3"/>
    <s v="Technical Degree"/>
    <n v="1"/>
    <n v="533"/>
    <n v="2"/>
    <s v="Female"/>
    <n v="83"/>
    <n v="3"/>
    <n v="2"/>
    <x v="0"/>
    <x v="2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  <x v="2"/>
    <x v="0"/>
    <x v="2"/>
  </r>
  <r>
    <n v="41"/>
    <x v="1"/>
    <s v="Travel_Rarely"/>
    <n v="645"/>
    <x v="0"/>
    <x v="0"/>
    <n v="3"/>
    <s v="Marketing"/>
    <n v="1"/>
    <n v="534"/>
    <n v="2"/>
    <s v="Male"/>
    <n v="49"/>
    <n v="4"/>
    <n v="3"/>
    <x v="0"/>
    <x v="3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  <x v="0"/>
    <x v="2"/>
    <x v="0"/>
  </r>
  <r>
    <n v="28"/>
    <x v="1"/>
    <s v="Travel_Rarely"/>
    <n v="1300"/>
    <x v="1"/>
    <x v="27"/>
    <n v="2"/>
    <s v="Medical"/>
    <n v="1"/>
    <n v="536"/>
    <n v="3"/>
    <s v="Male"/>
    <n v="79"/>
    <n v="3"/>
    <n v="2"/>
    <x v="2"/>
    <x v="3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  <x v="2"/>
    <x v="0"/>
    <x v="0"/>
  </r>
  <r>
    <n v="25"/>
    <x v="0"/>
    <s v="Travel_Rarely"/>
    <n v="688"/>
    <x v="1"/>
    <x v="3"/>
    <n v="3"/>
    <s v="Medical"/>
    <n v="1"/>
    <n v="538"/>
    <n v="1"/>
    <s v="Male"/>
    <n v="91"/>
    <n v="3"/>
    <n v="1"/>
    <x v="2"/>
    <x v="3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  <x v="3"/>
    <x v="0"/>
    <x v="1"/>
  </r>
  <r>
    <n v="52"/>
    <x v="1"/>
    <s v="Travel_Rarely"/>
    <n v="319"/>
    <x v="1"/>
    <x v="3"/>
    <n v="3"/>
    <s v="Medical"/>
    <n v="1"/>
    <n v="543"/>
    <n v="4"/>
    <s v="Male"/>
    <n v="39"/>
    <n v="2"/>
    <n v="3"/>
    <x v="3"/>
    <x v="2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  <x v="1"/>
    <x v="2"/>
    <x v="2"/>
  </r>
  <r>
    <n v="45"/>
    <x v="1"/>
    <s v="Travel_Rarely"/>
    <n v="192"/>
    <x v="1"/>
    <x v="17"/>
    <n v="2"/>
    <s v="Life Sciences"/>
    <n v="1"/>
    <n v="544"/>
    <n v="1"/>
    <s v="Male"/>
    <n v="69"/>
    <n v="3"/>
    <n v="1"/>
    <x v="1"/>
    <x v="0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  <x v="0"/>
    <x v="1"/>
    <x v="1"/>
  </r>
  <r>
    <n v="52"/>
    <x v="1"/>
    <s v="Travel_Rarely"/>
    <n v="1490"/>
    <x v="1"/>
    <x v="18"/>
    <n v="2"/>
    <s v="Life Sciences"/>
    <n v="1"/>
    <n v="546"/>
    <n v="4"/>
    <s v="Female"/>
    <n v="30"/>
    <n v="3"/>
    <n v="4"/>
    <x v="5"/>
    <x v="0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  <x v="1"/>
    <x v="2"/>
    <x v="2"/>
  </r>
  <r>
    <n v="42"/>
    <x v="1"/>
    <s v="Travel_Frequently"/>
    <n v="532"/>
    <x v="1"/>
    <x v="22"/>
    <n v="2"/>
    <s v="Life Sciences"/>
    <n v="1"/>
    <n v="547"/>
    <n v="1"/>
    <s v="Female"/>
    <n v="92"/>
    <n v="3"/>
    <n v="2"/>
    <x v="1"/>
    <x v="2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  <x v="0"/>
    <x v="0"/>
    <x v="2"/>
  </r>
  <r>
    <n v="30"/>
    <x v="1"/>
    <s v="Travel_Rarely"/>
    <n v="317"/>
    <x v="1"/>
    <x v="2"/>
    <n v="3"/>
    <s v="Life Sciences"/>
    <n v="1"/>
    <n v="548"/>
    <n v="3"/>
    <s v="Female"/>
    <n v="43"/>
    <n v="1"/>
    <n v="2"/>
    <x v="3"/>
    <x v="0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  <x v="2"/>
    <x v="0"/>
    <x v="2"/>
  </r>
  <r>
    <n v="60"/>
    <x v="1"/>
    <s v="Travel_Rarely"/>
    <n v="422"/>
    <x v="1"/>
    <x v="15"/>
    <n v="3"/>
    <s v="Life Sciences"/>
    <n v="1"/>
    <n v="549"/>
    <n v="1"/>
    <s v="Female"/>
    <n v="41"/>
    <n v="3"/>
    <n v="5"/>
    <x v="5"/>
    <x v="3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  <x v="1"/>
    <x v="2"/>
    <x v="3"/>
  </r>
  <r>
    <n v="46"/>
    <x v="1"/>
    <s v="Travel_Rarely"/>
    <n v="1485"/>
    <x v="1"/>
    <x v="21"/>
    <n v="3"/>
    <s v="Medical"/>
    <n v="1"/>
    <n v="550"/>
    <n v="3"/>
    <s v="Female"/>
    <n v="87"/>
    <n v="3"/>
    <n v="2"/>
    <x v="3"/>
    <x v="2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  <x v="1"/>
    <x v="0"/>
    <x v="0"/>
  </r>
  <r>
    <n v="42"/>
    <x v="1"/>
    <s v="Travel_Frequently"/>
    <n v="1368"/>
    <x v="1"/>
    <x v="26"/>
    <n v="4"/>
    <s v="Technical Degree"/>
    <n v="1"/>
    <n v="551"/>
    <n v="4"/>
    <s v="Female"/>
    <n v="88"/>
    <n v="2"/>
    <n v="2"/>
    <x v="4"/>
    <x v="0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  <x v="0"/>
    <x v="0"/>
    <x v="0"/>
  </r>
  <r>
    <n v="24"/>
    <x v="0"/>
    <s v="Travel_Rarely"/>
    <n v="1448"/>
    <x v="0"/>
    <x v="0"/>
    <n v="1"/>
    <s v="Technical Degree"/>
    <n v="1"/>
    <n v="554"/>
    <n v="1"/>
    <s v="Female"/>
    <n v="62"/>
    <n v="3"/>
    <n v="1"/>
    <x v="6"/>
    <x v="1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  <x v="3"/>
    <x v="0"/>
    <x v="2"/>
  </r>
  <r>
    <n v="34"/>
    <x v="0"/>
    <s v="Travel_Frequently"/>
    <n v="296"/>
    <x v="0"/>
    <x v="16"/>
    <n v="2"/>
    <s v="Marketing"/>
    <n v="1"/>
    <n v="555"/>
    <n v="4"/>
    <s v="Female"/>
    <n v="33"/>
    <n v="1"/>
    <n v="1"/>
    <x v="6"/>
    <x v="2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  <x v="2"/>
    <x v="1"/>
    <x v="1"/>
  </r>
  <r>
    <n v="38"/>
    <x v="1"/>
    <s v="Travel_Frequently"/>
    <n v="1490"/>
    <x v="1"/>
    <x v="2"/>
    <n v="2"/>
    <s v="Life Sciences"/>
    <n v="1"/>
    <n v="556"/>
    <n v="4"/>
    <s v="Male"/>
    <n v="42"/>
    <n v="3"/>
    <n v="1"/>
    <x v="2"/>
    <x v="0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  <x v="0"/>
    <x v="1"/>
    <x v="1"/>
  </r>
  <r>
    <n v="40"/>
    <x v="1"/>
    <s v="Travel_Rarely"/>
    <n v="1398"/>
    <x v="0"/>
    <x v="2"/>
    <n v="4"/>
    <s v="Life Sciences"/>
    <n v="1"/>
    <n v="558"/>
    <n v="3"/>
    <s v="Female"/>
    <n v="79"/>
    <n v="3"/>
    <n v="5"/>
    <x v="5"/>
    <x v="2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  <x v="0"/>
    <x v="2"/>
    <x v="3"/>
  </r>
  <r>
    <n v="26"/>
    <x v="1"/>
    <s v="Travel_Rarely"/>
    <n v="1349"/>
    <x v="1"/>
    <x v="5"/>
    <n v="3"/>
    <s v="Life Sciences"/>
    <n v="1"/>
    <n v="560"/>
    <n v="1"/>
    <s v="Female"/>
    <n v="90"/>
    <n v="3"/>
    <n v="1"/>
    <x v="1"/>
    <x v="0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  <x v="2"/>
    <x v="1"/>
    <x v="2"/>
  </r>
  <r>
    <n v="30"/>
    <x v="1"/>
    <s v="Non-Travel"/>
    <n v="1400"/>
    <x v="1"/>
    <x v="3"/>
    <n v="3"/>
    <s v="Life Sciences"/>
    <n v="1"/>
    <n v="562"/>
    <n v="3"/>
    <s v="Male"/>
    <n v="53"/>
    <n v="3"/>
    <n v="1"/>
    <x v="2"/>
    <x v="0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  <x v="2"/>
    <x v="1"/>
    <x v="2"/>
  </r>
  <r>
    <n v="29"/>
    <x v="1"/>
    <s v="Travel_Rarely"/>
    <n v="986"/>
    <x v="1"/>
    <x v="3"/>
    <n v="4"/>
    <s v="Medical"/>
    <n v="1"/>
    <n v="564"/>
    <n v="2"/>
    <s v="Male"/>
    <n v="93"/>
    <n v="2"/>
    <n v="3"/>
    <x v="7"/>
    <x v="2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  <x v="2"/>
    <x v="2"/>
    <x v="0"/>
  </r>
  <r>
    <n v="29"/>
    <x v="0"/>
    <s v="Travel_Rarely"/>
    <n v="408"/>
    <x v="1"/>
    <x v="19"/>
    <n v="5"/>
    <s v="Technical Degree"/>
    <n v="1"/>
    <n v="565"/>
    <n v="3"/>
    <s v="Female"/>
    <n v="71"/>
    <n v="2"/>
    <n v="1"/>
    <x v="1"/>
    <x v="1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  <x v="2"/>
    <x v="1"/>
    <x v="1"/>
  </r>
  <r>
    <n v="19"/>
    <x v="0"/>
    <s v="Travel_Rarely"/>
    <n v="489"/>
    <x v="2"/>
    <x v="2"/>
    <n v="2"/>
    <s v="Technical Degree"/>
    <n v="1"/>
    <n v="566"/>
    <n v="1"/>
    <s v="Male"/>
    <n v="52"/>
    <n v="2"/>
    <n v="1"/>
    <x v="8"/>
    <x v="0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  <x v="3"/>
    <x v="1"/>
    <x v="1"/>
  </r>
  <r>
    <n v="30"/>
    <x v="1"/>
    <s v="Non-Travel"/>
    <n v="1398"/>
    <x v="0"/>
    <x v="23"/>
    <n v="4"/>
    <s v="Other"/>
    <n v="1"/>
    <n v="567"/>
    <n v="3"/>
    <s v="Female"/>
    <n v="69"/>
    <n v="3"/>
    <n v="3"/>
    <x v="0"/>
    <x v="3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  <x v="2"/>
    <x v="2"/>
    <x v="0"/>
  </r>
  <r>
    <n v="57"/>
    <x v="1"/>
    <s v="Travel_Rarely"/>
    <n v="210"/>
    <x v="0"/>
    <x v="22"/>
    <n v="3"/>
    <s v="Marketing"/>
    <n v="1"/>
    <n v="568"/>
    <n v="1"/>
    <s v="Male"/>
    <n v="56"/>
    <n v="2"/>
    <n v="4"/>
    <x v="5"/>
    <x v="0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  <x v="1"/>
    <x v="2"/>
    <x v="1"/>
  </r>
  <r>
    <n v="50"/>
    <x v="1"/>
    <s v="Travel_Rarely"/>
    <n v="1099"/>
    <x v="1"/>
    <x v="22"/>
    <n v="4"/>
    <s v="Life Sciences"/>
    <n v="1"/>
    <n v="569"/>
    <n v="2"/>
    <s v="Male"/>
    <n v="88"/>
    <n v="2"/>
    <n v="4"/>
    <x v="5"/>
    <x v="2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  <x v="1"/>
    <x v="2"/>
    <x v="3"/>
  </r>
  <r>
    <n v="30"/>
    <x v="1"/>
    <s v="Non-Travel"/>
    <n v="1116"/>
    <x v="1"/>
    <x v="2"/>
    <n v="3"/>
    <s v="Medical"/>
    <n v="1"/>
    <n v="571"/>
    <n v="3"/>
    <s v="Female"/>
    <n v="49"/>
    <n v="3"/>
    <n v="1"/>
    <x v="2"/>
    <x v="0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  <x v="2"/>
    <x v="1"/>
    <x v="3"/>
  </r>
  <r>
    <n v="60"/>
    <x v="1"/>
    <s v="Travel_Frequently"/>
    <n v="1499"/>
    <x v="0"/>
    <x v="26"/>
    <n v="3"/>
    <s v="Marketing"/>
    <n v="1"/>
    <n v="573"/>
    <n v="3"/>
    <s v="Female"/>
    <n v="80"/>
    <n v="2"/>
    <n v="3"/>
    <x v="0"/>
    <x v="3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  <x v="1"/>
    <x v="2"/>
    <x v="3"/>
  </r>
  <r>
    <n v="47"/>
    <x v="1"/>
    <s v="Travel_Rarely"/>
    <n v="983"/>
    <x v="1"/>
    <x v="2"/>
    <n v="2"/>
    <s v="Medical"/>
    <n v="1"/>
    <n v="574"/>
    <n v="1"/>
    <s v="Female"/>
    <n v="65"/>
    <n v="3"/>
    <n v="2"/>
    <x v="3"/>
    <x v="0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  <x v="1"/>
    <x v="0"/>
    <x v="2"/>
  </r>
  <r>
    <n v="46"/>
    <x v="1"/>
    <s v="Travel_Rarely"/>
    <n v="1009"/>
    <x v="1"/>
    <x v="2"/>
    <n v="3"/>
    <s v="Life Sciences"/>
    <n v="1"/>
    <n v="575"/>
    <n v="1"/>
    <s v="Male"/>
    <n v="51"/>
    <n v="3"/>
    <n v="4"/>
    <x v="7"/>
    <x v="2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  <x v="1"/>
    <x v="2"/>
    <x v="2"/>
  </r>
  <r>
    <n v="35"/>
    <x v="1"/>
    <s v="Travel_Rarely"/>
    <n v="144"/>
    <x v="1"/>
    <x v="23"/>
    <n v="3"/>
    <s v="Life Sciences"/>
    <n v="1"/>
    <n v="577"/>
    <n v="4"/>
    <s v="Male"/>
    <n v="46"/>
    <n v="1"/>
    <n v="1"/>
    <x v="2"/>
    <x v="2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  <x v="2"/>
    <x v="0"/>
    <x v="2"/>
  </r>
  <r>
    <n v="54"/>
    <x v="1"/>
    <s v="Travel_Rarely"/>
    <n v="548"/>
    <x v="1"/>
    <x v="1"/>
    <n v="4"/>
    <s v="Life Sciences"/>
    <n v="1"/>
    <n v="578"/>
    <n v="3"/>
    <s v="Female"/>
    <n v="42"/>
    <n v="3"/>
    <n v="2"/>
    <x v="2"/>
    <x v="2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  <x v="1"/>
    <x v="0"/>
    <x v="1"/>
  </r>
  <r>
    <n v="34"/>
    <x v="1"/>
    <s v="Travel_Rarely"/>
    <n v="1303"/>
    <x v="1"/>
    <x v="2"/>
    <n v="4"/>
    <s v="Life Sciences"/>
    <n v="1"/>
    <n v="579"/>
    <n v="4"/>
    <s v="Male"/>
    <n v="62"/>
    <n v="2"/>
    <n v="1"/>
    <x v="1"/>
    <x v="2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  <x v="2"/>
    <x v="1"/>
    <x v="0"/>
  </r>
  <r>
    <n v="46"/>
    <x v="1"/>
    <s v="Travel_Rarely"/>
    <n v="1125"/>
    <x v="0"/>
    <x v="17"/>
    <n v="3"/>
    <s v="Marketing"/>
    <n v="1"/>
    <n v="580"/>
    <n v="3"/>
    <s v="Female"/>
    <n v="94"/>
    <n v="2"/>
    <n v="3"/>
    <x v="0"/>
    <x v="0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  <x v="1"/>
    <x v="2"/>
    <x v="2"/>
  </r>
  <r>
    <n v="31"/>
    <x v="1"/>
    <s v="Travel_Rarely"/>
    <n v="1274"/>
    <x v="1"/>
    <x v="14"/>
    <n v="1"/>
    <s v="Life Sciences"/>
    <n v="1"/>
    <n v="581"/>
    <n v="3"/>
    <s v="Male"/>
    <n v="33"/>
    <n v="3"/>
    <n v="3"/>
    <x v="3"/>
    <x v="1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  <x v="2"/>
    <x v="2"/>
    <x v="3"/>
  </r>
  <r>
    <n v="33"/>
    <x v="0"/>
    <s v="Travel_Rarely"/>
    <n v="1277"/>
    <x v="1"/>
    <x v="8"/>
    <n v="1"/>
    <s v="Medical"/>
    <n v="1"/>
    <n v="582"/>
    <n v="2"/>
    <s v="Male"/>
    <n v="56"/>
    <n v="3"/>
    <n v="3"/>
    <x v="5"/>
    <x v="2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  <x v="2"/>
    <x v="2"/>
    <x v="0"/>
  </r>
  <r>
    <n v="33"/>
    <x v="0"/>
    <s v="Travel_Rarely"/>
    <n v="587"/>
    <x v="1"/>
    <x v="17"/>
    <n v="1"/>
    <s v="Medical"/>
    <n v="1"/>
    <n v="584"/>
    <n v="1"/>
    <s v="Male"/>
    <n v="38"/>
    <n v="1"/>
    <n v="1"/>
    <x v="2"/>
    <x v="0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  <x v="2"/>
    <x v="0"/>
    <x v="2"/>
  </r>
  <r>
    <n v="30"/>
    <x v="1"/>
    <s v="Travel_Rarely"/>
    <n v="413"/>
    <x v="0"/>
    <x v="15"/>
    <n v="1"/>
    <s v="Marketing"/>
    <n v="1"/>
    <n v="585"/>
    <n v="4"/>
    <s v="Male"/>
    <n v="57"/>
    <n v="3"/>
    <n v="1"/>
    <x v="6"/>
    <x v="1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  <x v="2"/>
    <x v="1"/>
    <x v="2"/>
  </r>
  <r>
    <n v="35"/>
    <x v="1"/>
    <s v="Travel_Rarely"/>
    <n v="1276"/>
    <x v="1"/>
    <x v="7"/>
    <n v="3"/>
    <s v="Life Sciences"/>
    <n v="1"/>
    <n v="586"/>
    <n v="4"/>
    <s v="Male"/>
    <n v="72"/>
    <n v="3"/>
    <n v="3"/>
    <x v="4"/>
    <x v="2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  <x v="2"/>
    <x v="2"/>
    <x v="0"/>
  </r>
  <r>
    <n v="31"/>
    <x v="0"/>
    <s v="Travel_Frequently"/>
    <n v="534"/>
    <x v="1"/>
    <x v="25"/>
    <n v="3"/>
    <s v="Life Sciences"/>
    <n v="1"/>
    <n v="587"/>
    <n v="1"/>
    <s v="Male"/>
    <n v="66"/>
    <n v="3"/>
    <n v="3"/>
    <x v="4"/>
    <x v="2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  <x v="2"/>
    <x v="2"/>
    <x v="1"/>
  </r>
  <r>
    <n v="34"/>
    <x v="0"/>
    <s v="Travel_Frequently"/>
    <n v="988"/>
    <x v="2"/>
    <x v="5"/>
    <n v="3"/>
    <s v="Human Resources"/>
    <n v="1"/>
    <n v="590"/>
    <n v="2"/>
    <s v="Female"/>
    <n v="43"/>
    <n v="3"/>
    <n v="3"/>
    <x v="8"/>
    <x v="3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  <x v="2"/>
    <x v="2"/>
    <x v="2"/>
  </r>
  <r>
    <n v="42"/>
    <x v="1"/>
    <s v="Travel_Frequently"/>
    <n v="1474"/>
    <x v="1"/>
    <x v="12"/>
    <n v="2"/>
    <s v="Other"/>
    <n v="1"/>
    <n v="591"/>
    <n v="2"/>
    <s v="Male"/>
    <n v="97"/>
    <n v="3"/>
    <n v="1"/>
    <x v="2"/>
    <x v="2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  <x v="0"/>
    <x v="1"/>
    <x v="1"/>
  </r>
  <r>
    <n v="36"/>
    <x v="1"/>
    <s v="Non-Travel"/>
    <n v="635"/>
    <x v="0"/>
    <x v="17"/>
    <n v="4"/>
    <s v="Medical"/>
    <n v="1"/>
    <n v="592"/>
    <n v="2"/>
    <s v="Male"/>
    <n v="32"/>
    <n v="3"/>
    <n v="3"/>
    <x v="0"/>
    <x v="0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  <x v="0"/>
    <x v="2"/>
    <x v="0"/>
  </r>
  <r>
    <n v="22"/>
    <x v="0"/>
    <s v="Travel_Frequently"/>
    <n v="1368"/>
    <x v="1"/>
    <x v="18"/>
    <n v="1"/>
    <s v="Technical Degree"/>
    <n v="1"/>
    <n v="593"/>
    <n v="3"/>
    <s v="Male"/>
    <n v="99"/>
    <n v="2"/>
    <n v="1"/>
    <x v="2"/>
    <x v="2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  <x v="3"/>
    <x v="0"/>
    <x v="1"/>
  </r>
  <r>
    <n v="48"/>
    <x v="1"/>
    <s v="Travel_Rarely"/>
    <n v="163"/>
    <x v="0"/>
    <x v="2"/>
    <n v="5"/>
    <s v="Marketing"/>
    <n v="1"/>
    <n v="595"/>
    <n v="2"/>
    <s v="Female"/>
    <n v="37"/>
    <n v="3"/>
    <n v="2"/>
    <x v="0"/>
    <x v="0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  <x v="1"/>
    <x v="0"/>
    <x v="0"/>
  </r>
  <r>
    <n v="55"/>
    <x v="1"/>
    <s v="Travel_Rarely"/>
    <n v="1117"/>
    <x v="0"/>
    <x v="21"/>
    <n v="5"/>
    <s v="Life Sciences"/>
    <n v="1"/>
    <n v="597"/>
    <n v="1"/>
    <s v="Female"/>
    <n v="83"/>
    <n v="3"/>
    <n v="4"/>
    <x v="5"/>
    <x v="1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  <x v="1"/>
    <x v="2"/>
    <x v="0"/>
  </r>
  <r>
    <n v="41"/>
    <x v="1"/>
    <s v="Non-Travel"/>
    <n v="267"/>
    <x v="0"/>
    <x v="17"/>
    <n v="2"/>
    <s v="Life Sciences"/>
    <n v="1"/>
    <n v="599"/>
    <n v="4"/>
    <s v="Male"/>
    <n v="56"/>
    <n v="3"/>
    <n v="2"/>
    <x v="0"/>
    <x v="0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  <x v="0"/>
    <x v="0"/>
    <x v="3"/>
  </r>
  <r>
    <n v="35"/>
    <x v="1"/>
    <s v="Travel_Rarely"/>
    <n v="619"/>
    <x v="0"/>
    <x v="0"/>
    <n v="3"/>
    <s v="Marketing"/>
    <n v="1"/>
    <n v="600"/>
    <n v="2"/>
    <s v="Male"/>
    <n v="85"/>
    <n v="3"/>
    <n v="2"/>
    <x v="0"/>
    <x v="2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  <x v="2"/>
    <x v="0"/>
    <x v="3"/>
  </r>
  <r>
    <n v="40"/>
    <x v="1"/>
    <s v="Travel_Rarely"/>
    <n v="302"/>
    <x v="1"/>
    <x v="16"/>
    <n v="3"/>
    <s v="Life Sciences"/>
    <n v="1"/>
    <n v="601"/>
    <n v="2"/>
    <s v="Female"/>
    <n v="75"/>
    <n v="3"/>
    <n v="4"/>
    <x v="3"/>
    <x v="2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  <x v="0"/>
    <x v="2"/>
    <x v="3"/>
  </r>
  <r>
    <n v="39"/>
    <x v="1"/>
    <s v="Travel_Frequently"/>
    <n v="443"/>
    <x v="1"/>
    <x v="1"/>
    <n v="1"/>
    <s v="Life Sciences"/>
    <n v="1"/>
    <n v="602"/>
    <n v="3"/>
    <s v="Female"/>
    <n v="48"/>
    <n v="3"/>
    <n v="1"/>
    <x v="2"/>
    <x v="2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  <x v="0"/>
    <x v="0"/>
    <x v="0"/>
  </r>
  <r>
    <n v="31"/>
    <x v="1"/>
    <s v="Travel_Rarely"/>
    <n v="828"/>
    <x v="0"/>
    <x v="2"/>
    <n v="1"/>
    <s v="Life Sciences"/>
    <n v="1"/>
    <n v="604"/>
    <n v="2"/>
    <s v="Male"/>
    <n v="77"/>
    <n v="3"/>
    <n v="2"/>
    <x v="0"/>
    <x v="0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  <x v="2"/>
    <x v="0"/>
    <x v="0"/>
  </r>
  <r>
    <n v="42"/>
    <x v="1"/>
    <s v="Travel_Rarely"/>
    <n v="319"/>
    <x v="1"/>
    <x v="4"/>
    <n v="3"/>
    <s v="Medical"/>
    <n v="1"/>
    <n v="605"/>
    <n v="4"/>
    <s v="Male"/>
    <n v="56"/>
    <n v="3"/>
    <n v="3"/>
    <x v="3"/>
    <x v="3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  <x v="0"/>
    <x v="2"/>
    <x v="0"/>
  </r>
  <r>
    <n v="45"/>
    <x v="1"/>
    <s v="Travel_Rarely"/>
    <n v="561"/>
    <x v="0"/>
    <x v="2"/>
    <n v="3"/>
    <s v="Other"/>
    <n v="1"/>
    <n v="606"/>
    <n v="4"/>
    <s v="Male"/>
    <n v="61"/>
    <n v="3"/>
    <n v="2"/>
    <x v="0"/>
    <x v="1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  <x v="0"/>
    <x v="0"/>
    <x v="0"/>
  </r>
  <r>
    <n v="26"/>
    <x v="0"/>
    <s v="Travel_Frequently"/>
    <n v="426"/>
    <x v="2"/>
    <x v="27"/>
    <n v="4"/>
    <s v="Life Sciences"/>
    <n v="1"/>
    <n v="608"/>
    <n v="2"/>
    <s v="Female"/>
    <n v="58"/>
    <n v="3"/>
    <n v="1"/>
    <x v="8"/>
    <x v="2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  <x v="2"/>
    <x v="1"/>
    <x v="0"/>
  </r>
  <r>
    <n v="29"/>
    <x v="1"/>
    <s v="Travel_Rarely"/>
    <n v="232"/>
    <x v="1"/>
    <x v="10"/>
    <n v="3"/>
    <s v="Technical Degree"/>
    <n v="1"/>
    <n v="611"/>
    <n v="4"/>
    <s v="Male"/>
    <n v="34"/>
    <n v="3"/>
    <n v="2"/>
    <x v="3"/>
    <x v="0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  <x v="2"/>
    <x v="0"/>
    <x v="2"/>
  </r>
  <r>
    <n v="33"/>
    <x v="1"/>
    <s v="Travel_Rarely"/>
    <n v="922"/>
    <x v="1"/>
    <x v="0"/>
    <n v="5"/>
    <s v="Medical"/>
    <n v="1"/>
    <n v="612"/>
    <n v="1"/>
    <s v="Female"/>
    <n v="95"/>
    <n v="4"/>
    <n v="4"/>
    <x v="7"/>
    <x v="2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  <x v="2"/>
    <x v="2"/>
    <x v="0"/>
  </r>
  <r>
    <n v="31"/>
    <x v="1"/>
    <s v="Travel_Rarely"/>
    <n v="688"/>
    <x v="0"/>
    <x v="15"/>
    <n v="3"/>
    <s v="Life Sciences"/>
    <n v="1"/>
    <n v="613"/>
    <n v="3"/>
    <s v="Male"/>
    <n v="44"/>
    <n v="2"/>
    <n v="3"/>
    <x v="5"/>
    <x v="0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  <x v="2"/>
    <x v="2"/>
    <x v="2"/>
  </r>
  <r>
    <n v="18"/>
    <x v="0"/>
    <s v="Travel_Frequently"/>
    <n v="1306"/>
    <x v="0"/>
    <x v="12"/>
    <n v="3"/>
    <s v="Marketing"/>
    <n v="1"/>
    <n v="614"/>
    <n v="2"/>
    <s v="Male"/>
    <n v="69"/>
    <n v="3"/>
    <n v="1"/>
    <x v="6"/>
    <x v="1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  <x v="3"/>
    <x v="1"/>
    <x v="1"/>
  </r>
  <r>
    <n v="40"/>
    <x v="1"/>
    <s v="Non-Travel"/>
    <n v="1094"/>
    <x v="0"/>
    <x v="26"/>
    <n v="3"/>
    <s v="Other"/>
    <n v="1"/>
    <n v="615"/>
    <n v="3"/>
    <s v="Male"/>
    <n v="58"/>
    <n v="1"/>
    <n v="3"/>
    <x v="0"/>
    <x v="3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  <x v="0"/>
    <x v="2"/>
    <x v="1"/>
  </r>
  <r>
    <n v="41"/>
    <x v="1"/>
    <s v="Non-Travel"/>
    <n v="509"/>
    <x v="1"/>
    <x v="2"/>
    <n v="4"/>
    <s v="Other"/>
    <n v="1"/>
    <n v="616"/>
    <n v="1"/>
    <s v="Female"/>
    <n v="62"/>
    <n v="2"/>
    <n v="2"/>
    <x v="4"/>
    <x v="2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  <x v="0"/>
    <x v="0"/>
    <x v="0"/>
  </r>
  <r>
    <n v="26"/>
    <x v="1"/>
    <s v="Travel_Rarely"/>
    <n v="775"/>
    <x v="0"/>
    <x v="22"/>
    <n v="2"/>
    <s v="Medical"/>
    <n v="1"/>
    <n v="618"/>
    <n v="1"/>
    <s v="Male"/>
    <n v="45"/>
    <n v="3"/>
    <n v="2"/>
    <x v="0"/>
    <x v="2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  <x v="2"/>
    <x v="0"/>
    <x v="1"/>
  </r>
  <r>
    <n v="35"/>
    <x v="1"/>
    <s v="Travel_Rarely"/>
    <n v="195"/>
    <x v="0"/>
    <x v="0"/>
    <n v="3"/>
    <s v="Medical"/>
    <n v="1"/>
    <n v="620"/>
    <n v="1"/>
    <s v="Female"/>
    <n v="80"/>
    <n v="3"/>
    <n v="2"/>
    <x v="0"/>
    <x v="2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  <x v="2"/>
    <x v="0"/>
    <x v="2"/>
  </r>
  <r>
    <n v="34"/>
    <x v="1"/>
    <s v="Travel_Rarely"/>
    <n v="258"/>
    <x v="0"/>
    <x v="11"/>
    <n v="4"/>
    <s v="Life Sciences"/>
    <n v="1"/>
    <n v="621"/>
    <n v="4"/>
    <s v="Male"/>
    <n v="74"/>
    <n v="4"/>
    <n v="2"/>
    <x v="0"/>
    <x v="0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  <x v="2"/>
    <x v="0"/>
    <x v="0"/>
  </r>
  <r>
    <n v="26"/>
    <x v="0"/>
    <s v="Travel_Rarely"/>
    <n v="471"/>
    <x v="1"/>
    <x v="4"/>
    <n v="3"/>
    <s v="Technical Degree"/>
    <n v="1"/>
    <n v="622"/>
    <n v="3"/>
    <s v="Male"/>
    <n v="66"/>
    <n v="1"/>
    <n v="1"/>
    <x v="2"/>
    <x v="0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  <x v="2"/>
    <x v="1"/>
    <x v="1"/>
  </r>
  <r>
    <n v="37"/>
    <x v="1"/>
    <s v="Travel_Rarely"/>
    <n v="799"/>
    <x v="1"/>
    <x v="0"/>
    <n v="3"/>
    <s v="Technical Degree"/>
    <n v="1"/>
    <n v="623"/>
    <n v="2"/>
    <s v="Female"/>
    <n v="59"/>
    <n v="3"/>
    <n v="3"/>
    <x v="3"/>
    <x v="0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  <x v="0"/>
    <x v="2"/>
    <x v="0"/>
  </r>
  <r>
    <n v="46"/>
    <x v="1"/>
    <s v="Travel_Frequently"/>
    <n v="1034"/>
    <x v="1"/>
    <x v="21"/>
    <n v="1"/>
    <s v="Medical"/>
    <n v="1"/>
    <n v="624"/>
    <n v="1"/>
    <s v="Female"/>
    <n v="86"/>
    <n v="3"/>
    <n v="3"/>
    <x v="4"/>
    <x v="2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  <x v="1"/>
    <x v="2"/>
    <x v="1"/>
  </r>
  <r>
    <n v="41"/>
    <x v="1"/>
    <s v="Travel_Rarely"/>
    <n v="1276"/>
    <x v="0"/>
    <x v="2"/>
    <n v="5"/>
    <s v="Life Sciences"/>
    <n v="1"/>
    <n v="625"/>
    <n v="2"/>
    <s v="Female"/>
    <n v="91"/>
    <n v="3"/>
    <n v="4"/>
    <x v="5"/>
    <x v="3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  <x v="0"/>
    <x v="2"/>
    <x v="3"/>
  </r>
  <r>
    <n v="37"/>
    <x v="1"/>
    <s v="Non-Travel"/>
    <n v="142"/>
    <x v="0"/>
    <x v="14"/>
    <n v="4"/>
    <s v="Medical"/>
    <n v="1"/>
    <n v="626"/>
    <n v="1"/>
    <s v="Male"/>
    <n v="69"/>
    <n v="3"/>
    <n v="3"/>
    <x v="0"/>
    <x v="1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  <x v="0"/>
    <x v="2"/>
    <x v="0"/>
  </r>
  <r>
    <n v="52"/>
    <x v="1"/>
    <s v="Travel_Rarely"/>
    <n v="956"/>
    <x v="1"/>
    <x v="16"/>
    <n v="2"/>
    <s v="Technical Degree"/>
    <n v="1"/>
    <n v="630"/>
    <n v="4"/>
    <s v="Male"/>
    <n v="78"/>
    <n v="3"/>
    <n v="2"/>
    <x v="1"/>
    <x v="3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  <x v="1"/>
    <x v="0"/>
    <x v="0"/>
  </r>
  <r>
    <n v="32"/>
    <x v="0"/>
    <s v="Non-Travel"/>
    <n v="1474"/>
    <x v="0"/>
    <x v="13"/>
    <n v="4"/>
    <s v="Other"/>
    <n v="1"/>
    <n v="631"/>
    <n v="4"/>
    <s v="Male"/>
    <n v="60"/>
    <n v="4"/>
    <n v="2"/>
    <x v="0"/>
    <x v="2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  <x v="2"/>
    <x v="0"/>
    <x v="2"/>
  </r>
  <r>
    <n v="24"/>
    <x v="1"/>
    <s v="Travel_Frequently"/>
    <n v="535"/>
    <x v="0"/>
    <x v="4"/>
    <n v="3"/>
    <s v="Medical"/>
    <n v="1"/>
    <n v="632"/>
    <n v="4"/>
    <s v="Male"/>
    <n v="38"/>
    <n v="3"/>
    <n v="1"/>
    <x v="6"/>
    <x v="0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  <x v="3"/>
    <x v="1"/>
    <x v="1"/>
  </r>
  <r>
    <n v="38"/>
    <x v="1"/>
    <s v="Travel_Rarely"/>
    <n v="1495"/>
    <x v="1"/>
    <x v="17"/>
    <n v="3"/>
    <s v="Medical"/>
    <n v="1"/>
    <n v="634"/>
    <n v="3"/>
    <s v="Female"/>
    <n v="76"/>
    <n v="3"/>
    <n v="2"/>
    <x v="4"/>
    <x v="2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  <x v="0"/>
    <x v="2"/>
    <x v="1"/>
  </r>
  <r>
    <n v="37"/>
    <x v="1"/>
    <s v="Travel_Rarely"/>
    <n v="446"/>
    <x v="1"/>
    <x v="0"/>
    <n v="4"/>
    <s v="Life Sciences"/>
    <n v="1"/>
    <n v="635"/>
    <n v="2"/>
    <s v="Female"/>
    <n v="65"/>
    <n v="3"/>
    <n v="2"/>
    <x v="3"/>
    <x v="1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  <x v="0"/>
    <x v="0"/>
    <x v="0"/>
  </r>
  <r>
    <n v="49"/>
    <x v="1"/>
    <s v="Travel_Rarely"/>
    <n v="1245"/>
    <x v="1"/>
    <x v="21"/>
    <n v="4"/>
    <s v="Life Sciences"/>
    <n v="1"/>
    <n v="638"/>
    <n v="4"/>
    <s v="Male"/>
    <n v="58"/>
    <n v="2"/>
    <n v="5"/>
    <x v="7"/>
    <x v="2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  <x v="1"/>
    <x v="2"/>
    <x v="3"/>
  </r>
  <r>
    <n v="24"/>
    <x v="1"/>
    <s v="Travel_Rarely"/>
    <n v="691"/>
    <x v="1"/>
    <x v="5"/>
    <n v="3"/>
    <s v="Medical"/>
    <n v="1"/>
    <n v="639"/>
    <n v="2"/>
    <s v="Male"/>
    <n v="89"/>
    <n v="4"/>
    <n v="1"/>
    <x v="1"/>
    <x v="0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  <x v="3"/>
    <x v="1"/>
    <x v="0"/>
  </r>
  <r>
    <n v="26"/>
    <x v="1"/>
    <s v="Travel_Rarely"/>
    <n v="703"/>
    <x v="0"/>
    <x v="26"/>
    <n v="2"/>
    <s v="Marketing"/>
    <n v="1"/>
    <n v="641"/>
    <n v="1"/>
    <s v="Male"/>
    <n v="66"/>
    <n v="3"/>
    <n v="2"/>
    <x v="0"/>
    <x v="1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  <x v="2"/>
    <x v="0"/>
    <x v="2"/>
  </r>
  <r>
    <n v="24"/>
    <x v="1"/>
    <s v="Travel_Rarely"/>
    <n v="823"/>
    <x v="1"/>
    <x v="27"/>
    <n v="2"/>
    <s v="Other"/>
    <n v="1"/>
    <n v="643"/>
    <n v="4"/>
    <s v="Male"/>
    <n v="94"/>
    <n v="2"/>
    <n v="1"/>
    <x v="2"/>
    <x v="1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  <x v="3"/>
    <x v="1"/>
    <x v="1"/>
  </r>
  <r>
    <n v="50"/>
    <x v="1"/>
    <s v="Travel_Frequently"/>
    <n v="1246"/>
    <x v="2"/>
    <x v="3"/>
    <n v="3"/>
    <s v="Medical"/>
    <n v="1"/>
    <n v="644"/>
    <n v="1"/>
    <s v="Male"/>
    <n v="99"/>
    <n v="3"/>
    <n v="5"/>
    <x v="5"/>
    <x v="1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  <x v="1"/>
    <x v="2"/>
    <x v="3"/>
  </r>
  <r>
    <n v="25"/>
    <x v="1"/>
    <s v="Travel_Rarely"/>
    <n v="622"/>
    <x v="0"/>
    <x v="28"/>
    <n v="1"/>
    <s v="Medical"/>
    <n v="1"/>
    <n v="645"/>
    <n v="2"/>
    <s v="Male"/>
    <n v="40"/>
    <n v="3"/>
    <n v="1"/>
    <x v="6"/>
    <x v="2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  <x v="3"/>
    <x v="1"/>
    <x v="0"/>
  </r>
  <r>
    <n v="24"/>
    <x v="0"/>
    <s v="Travel_Frequently"/>
    <n v="1287"/>
    <x v="1"/>
    <x v="15"/>
    <n v="3"/>
    <s v="Life Sciences"/>
    <n v="1"/>
    <n v="647"/>
    <n v="1"/>
    <s v="Female"/>
    <n v="55"/>
    <n v="3"/>
    <n v="1"/>
    <x v="2"/>
    <x v="2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  <x v="3"/>
    <x v="1"/>
    <x v="0"/>
  </r>
  <r>
    <n v="30"/>
    <x v="0"/>
    <s v="Travel_Frequently"/>
    <n v="448"/>
    <x v="0"/>
    <x v="20"/>
    <n v="4"/>
    <s v="Life Sciences"/>
    <n v="1"/>
    <n v="648"/>
    <n v="2"/>
    <s v="Male"/>
    <n v="74"/>
    <n v="2"/>
    <n v="1"/>
    <x v="6"/>
    <x v="3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  <x v="2"/>
    <x v="1"/>
    <x v="1"/>
  </r>
  <r>
    <n v="34"/>
    <x v="1"/>
    <s v="Travel_Rarely"/>
    <n v="254"/>
    <x v="1"/>
    <x v="0"/>
    <n v="2"/>
    <s v="Life Sciences"/>
    <n v="1"/>
    <n v="649"/>
    <n v="2"/>
    <s v="Male"/>
    <n v="83"/>
    <n v="2"/>
    <n v="1"/>
    <x v="1"/>
    <x v="0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  <x v="2"/>
    <x v="0"/>
    <x v="0"/>
  </r>
  <r>
    <n v="31"/>
    <x v="0"/>
    <s v="Travel_Rarely"/>
    <n v="1365"/>
    <x v="0"/>
    <x v="28"/>
    <n v="4"/>
    <s v="Medical"/>
    <n v="1"/>
    <n v="650"/>
    <n v="2"/>
    <s v="Male"/>
    <n v="46"/>
    <n v="3"/>
    <n v="2"/>
    <x v="0"/>
    <x v="3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  <x v="2"/>
    <x v="0"/>
    <x v="2"/>
  </r>
  <r>
    <n v="35"/>
    <x v="1"/>
    <s v="Travel_Rarely"/>
    <n v="538"/>
    <x v="1"/>
    <x v="19"/>
    <n v="2"/>
    <s v="Other"/>
    <n v="1"/>
    <n v="652"/>
    <n v="1"/>
    <s v="Male"/>
    <n v="54"/>
    <n v="2"/>
    <n v="2"/>
    <x v="2"/>
    <x v="0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  <x v="2"/>
    <x v="0"/>
    <x v="2"/>
  </r>
  <r>
    <n v="31"/>
    <x v="1"/>
    <s v="Travel_Rarely"/>
    <n v="525"/>
    <x v="0"/>
    <x v="16"/>
    <n v="4"/>
    <s v="Medical"/>
    <n v="1"/>
    <n v="653"/>
    <n v="1"/>
    <s v="Male"/>
    <n v="66"/>
    <n v="4"/>
    <n v="2"/>
    <x v="0"/>
    <x v="0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  <x v="2"/>
    <x v="0"/>
    <x v="0"/>
  </r>
  <r>
    <n v="27"/>
    <x v="1"/>
    <s v="Travel_Rarely"/>
    <n v="798"/>
    <x v="1"/>
    <x v="16"/>
    <n v="4"/>
    <s v="Medical"/>
    <n v="1"/>
    <n v="655"/>
    <n v="1"/>
    <s v="Female"/>
    <n v="66"/>
    <n v="2"/>
    <n v="1"/>
    <x v="1"/>
    <x v="2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  <x v="2"/>
    <x v="1"/>
    <x v="2"/>
  </r>
  <r>
    <n v="37"/>
    <x v="1"/>
    <s v="Travel_Rarely"/>
    <n v="558"/>
    <x v="0"/>
    <x v="2"/>
    <n v="3"/>
    <s v="Marketing"/>
    <n v="1"/>
    <n v="656"/>
    <n v="4"/>
    <s v="Male"/>
    <n v="75"/>
    <n v="3"/>
    <n v="2"/>
    <x v="0"/>
    <x v="2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  <x v="0"/>
    <x v="2"/>
    <x v="2"/>
  </r>
  <r>
    <n v="20"/>
    <x v="1"/>
    <s v="Travel_Rarely"/>
    <n v="959"/>
    <x v="1"/>
    <x v="0"/>
    <n v="3"/>
    <s v="Life Sciences"/>
    <n v="1"/>
    <n v="657"/>
    <n v="4"/>
    <s v="Female"/>
    <n v="83"/>
    <n v="2"/>
    <n v="1"/>
    <x v="1"/>
    <x v="1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  <x v="3"/>
    <x v="1"/>
    <x v="1"/>
  </r>
  <r>
    <n v="42"/>
    <x v="1"/>
    <s v="Travel_Rarely"/>
    <n v="622"/>
    <x v="1"/>
    <x v="2"/>
    <n v="4"/>
    <s v="Life Sciences"/>
    <n v="1"/>
    <n v="659"/>
    <n v="3"/>
    <s v="Female"/>
    <n v="81"/>
    <n v="3"/>
    <n v="2"/>
    <x v="4"/>
    <x v="0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  <x v="0"/>
    <x v="0"/>
    <x v="0"/>
  </r>
  <r>
    <n v="43"/>
    <x v="1"/>
    <s v="Travel_Rarely"/>
    <n v="782"/>
    <x v="1"/>
    <x v="16"/>
    <n v="4"/>
    <s v="Other"/>
    <n v="1"/>
    <n v="661"/>
    <n v="2"/>
    <s v="Male"/>
    <n v="50"/>
    <n v="2"/>
    <n v="4"/>
    <x v="7"/>
    <x v="0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  <x v="0"/>
    <x v="2"/>
    <x v="1"/>
  </r>
  <r>
    <n v="38"/>
    <x v="1"/>
    <s v="Travel_Rarely"/>
    <n v="362"/>
    <x v="1"/>
    <x v="0"/>
    <n v="1"/>
    <s v="Life Sciences"/>
    <n v="1"/>
    <n v="662"/>
    <n v="3"/>
    <s v="Female"/>
    <n v="43"/>
    <n v="3"/>
    <n v="1"/>
    <x v="1"/>
    <x v="3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  <x v="0"/>
    <x v="1"/>
    <x v="1"/>
  </r>
  <r>
    <n v="43"/>
    <x v="1"/>
    <s v="Travel_Frequently"/>
    <n v="1001"/>
    <x v="1"/>
    <x v="14"/>
    <n v="5"/>
    <s v="Medical"/>
    <n v="1"/>
    <n v="663"/>
    <n v="4"/>
    <s v="Male"/>
    <n v="72"/>
    <n v="3"/>
    <n v="2"/>
    <x v="2"/>
    <x v="2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  <x v="0"/>
    <x v="0"/>
    <x v="0"/>
  </r>
  <r>
    <n v="48"/>
    <x v="1"/>
    <s v="Travel_Rarely"/>
    <n v="1236"/>
    <x v="1"/>
    <x v="0"/>
    <n v="4"/>
    <s v="Life Sciences"/>
    <n v="1"/>
    <n v="664"/>
    <n v="4"/>
    <s v="Female"/>
    <n v="40"/>
    <n v="2"/>
    <n v="4"/>
    <x v="5"/>
    <x v="3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  <x v="1"/>
    <x v="2"/>
    <x v="2"/>
  </r>
  <r>
    <n v="44"/>
    <x v="1"/>
    <s v="Travel_Rarely"/>
    <n v="1112"/>
    <x v="2"/>
    <x v="0"/>
    <n v="4"/>
    <s v="Life Sciences"/>
    <n v="1"/>
    <n v="665"/>
    <n v="1"/>
    <s v="Female"/>
    <n v="50"/>
    <n v="2"/>
    <n v="2"/>
    <x v="8"/>
    <x v="2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  <x v="0"/>
    <x v="0"/>
    <x v="1"/>
  </r>
  <r>
    <n v="34"/>
    <x v="1"/>
    <s v="Travel_Rarely"/>
    <n v="204"/>
    <x v="0"/>
    <x v="24"/>
    <n v="3"/>
    <s v="Technical Degree"/>
    <n v="1"/>
    <n v="666"/>
    <n v="3"/>
    <s v="Female"/>
    <n v="31"/>
    <n v="3"/>
    <n v="1"/>
    <x v="6"/>
    <x v="2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  <x v="2"/>
    <x v="1"/>
    <x v="0"/>
  </r>
  <r>
    <n v="27"/>
    <x v="0"/>
    <s v="Travel_Rarely"/>
    <n v="1420"/>
    <x v="0"/>
    <x v="2"/>
    <n v="1"/>
    <s v="Marketing"/>
    <n v="1"/>
    <n v="667"/>
    <n v="3"/>
    <s v="Male"/>
    <n v="85"/>
    <n v="3"/>
    <n v="1"/>
    <x v="6"/>
    <x v="3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  <x v="2"/>
    <x v="0"/>
    <x v="2"/>
  </r>
  <r>
    <n v="21"/>
    <x v="1"/>
    <s v="Travel_Rarely"/>
    <n v="1343"/>
    <x v="0"/>
    <x v="23"/>
    <n v="1"/>
    <s v="Technical Degree"/>
    <n v="1"/>
    <n v="669"/>
    <n v="3"/>
    <s v="Male"/>
    <n v="49"/>
    <n v="3"/>
    <n v="1"/>
    <x v="6"/>
    <x v="2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  <x v="3"/>
    <x v="0"/>
    <x v="2"/>
  </r>
  <r>
    <n v="44"/>
    <x v="1"/>
    <s v="Travel_Rarely"/>
    <n v="1315"/>
    <x v="1"/>
    <x v="3"/>
    <n v="4"/>
    <s v="Other"/>
    <n v="1"/>
    <n v="671"/>
    <n v="4"/>
    <s v="Male"/>
    <n v="35"/>
    <n v="3"/>
    <n v="5"/>
    <x v="5"/>
    <x v="0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  <x v="0"/>
    <x v="2"/>
    <x v="1"/>
  </r>
  <r>
    <n v="22"/>
    <x v="1"/>
    <s v="Travel_Rarely"/>
    <n v="604"/>
    <x v="1"/>
    <x v="16"/>
    <n v="1"/>
    <s v="Medical"/>
    <n v="1"/>
    <n v="675"/>
    <n v="1"/>
    <s v="Male"/>
    <n v="69"/>
    <n v="3"/>
    <n v="1"/>
    <x v="1"/>
    <x v="2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  <x v="3"/>
    <x v="1"/>
    <x v="1"/>
  </r>
  <r>
    <n v="33"/>
    <x v="1"/>
    <s v="Travel_Rarely"/>
    <n v="1216"/>
    <x v="0"/>
    <x v="1"/>
    <n v="4"/>
    <s v="Marketing"/>
    <n v="1"/>
    <n v="677"/>
    <n v="3"/>
    <s v="Male"/>
    <n v="39"/>
    <n v="3"/>
    <n v="2"/>
    <x v="0"/>
    <x v="2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  <x v="2"/>
    <x v="2"/>
    <x v="2"/>
  </r>
  <r>
    <n v="32"/>
    <x v="1"/>
    <s v="Travel_Rarely"/>
    <n v="646"/>
    <x v="1"/>
    <x v="14"/>
    <n v="4"/>
    <s v="Life Sciences"/>
    <n v="1"/>
    <n v="679"/>
    <n v="1"/>
    <s v="Female"/>
    <n v="92"/>
    <n v="3"/>
    <n v="2"/>
    <x v="1"/>
    <x v="0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  <x v="2"/>
    <x v="0"/>
    <x v="0"/>
  </r>
  <r>
    <n v="30"/>
    <x v="1"/>
    <s v="Travel_Frequently"/>
    <n v="160"/>
    <x v="1"/>
    <x v="3"/>
    <n v="3"/>
    <s v="Medical"/>
    <n v="1"/>
    <n v="680"/>
    <n v="3"/>
    <s v="Female"/>
    <n v="71"/>
    <n v="3"/>
    <n v="1"/>
    <x v="1"/>
    <x v="2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  <x v="2"/>
    <x v="1"/>
    <x v="1"/>
  </r>
  <r>
    <n v="53"/>
    <x v="1"/>
    <s v="Travel_Rarely"/>
    <n v="238"/>
    <x v="0"/>
    <x v="0"/>
    <n v="1"/>
    <s v="Medical"/>
    <n v="1"/>
    <n v="682"/>
    <n v="4"/>
    <s v="Female"/>
    <n v="34"/>
    <n v="3"/>
    <n v="2"/>
    <x v="0"/>
    <x v="3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  <x v="1"/>
    <x v="2"/>
    <x v="3"/>
  </r>
  <r>
    <n v="34"/>
    <x v="1"/>
    <s v="Travel_Rarely"/>
    <n v="1397"/>
    <x v="1"/>
    <x v="0"/>
    <n v="5"/>
    <s v="Life Sciences"/>
    <n v="1"/>
    <n v="683"/>
    <n v="2"/>
    <s v="Male"/>
    <n v="42"/>
    <n v="3"/>
    <n v="1"/>
    <x v="1"/>
    <x v="0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  <x v="2"/>
    <x v="1"/>
    <x v="0"/>
  </r>
  <r>
    <n v="45"/>
    <x v="0"/>
    <s v="Travel_Frequently"/>
    <n v="306"/>
    <x v="0"/>
    <x v="9"/>
    <n v="4"/>
    <s v="Life Sciences"/>
    <n v="1"/>
    <n v="684"/>
    <n v="1"/>
    <s v="Female"/>
    <n v="100"/>
    <n v="3"/>
    <n v="2"/>
    <x v="0"/>
    <x v="3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  <x v="0"/>
    <x v="0"/>
    <x v="1"/>
  </r>
  <r>
    <n v="26"/>
    <x v="1"/>
    <s v="Travel_Rarely"/>
    <n v="991"/>
    <x v="1"/>
    <x v="16"/>
    <n v="3"/>
    <s v="Life Sciences"/>
    <n v="1"/>
    <n v="686"/>
    <n v="3"/>
    <s v="Female"/>
    <n v="71"/>
    <n v="3"/>
    <n v="1"/>
    <x v="2"/>
    <x v="0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  <x v="2"/>
    <x v="1"/>
    <x v="2"/>
  </r>
  <r>
    <n v="37"/>
    <x v="1"/>
    <s v="Travel_Rarely"/>
    <n v="482"/>
    <x v="1"/>
    <x v="3"/>
    <n v="3"/>
    <s v="Other"/>
    <n v="1"/>
    <n v="689"/>
    <n v="3"/>
    <s v="Male"/>
    <n v="36"/>
    <n v="3"/>
    <n v="3"/>
    <x v="3"/>
    <x v="2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  <x v="0"/>
    <x v="2"/>
    <x v="0"/>
  </r>
  <r>
    <n v="29"/>
    <x v="1"/>
    <s v="Travel_Rarely"/>
    <n v="1176"/>
    <x v="0"/>
    <x v="3"/>
    <n v="2"/>
    <s v="Medical"/>
    <n v="1"/>
    <n v="690"/>
    <n v="2"/>
    <s v="Female"/>
    <n v="62"/>
    <n v="3"/>
    <n v="2"/>
    <x v="0"/>
    <x v="2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  <x v="2"/>
    <x v="0"/>
    <x v="0"/>
  </r>
  <r>
    <n v="35"/>
    <x v="1"/>
    <s v="Travel_Rarely"/>
    <n v="1017"/>
    <x v="1"/>
    <x v="16"/>
    <n v="4"/>
    <s v="Life Sciences"/>
    <n v="1"/>
    <n v="691"/>
    <n v="2"/>
    <s v="Male"/>
    <n v="82"/>
    <n v="1"/>
    <n v="2"/>
    <x v="1"/>
    <x v="0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  <x v="2"/>
    <x v="0"/>
    <x v="3"/>
  </r>
  <r>
    <n v="33"/>
    <x v="1"/>
    <s v="Travel_Frequently"/>
    <n v="1296"/>
    <x v="1"/>
    <x v="16"/>
    <n v="3"/>
    <s v="Life Sciences"/>
    <n v="1"/>
    <n v="692"/>
    <n v="3"/>
    <s v="Male"/>
    <n v="30"/>
    <n v="3"/>
    <n v="2"/>
    <x v="4"/>
    <x v="0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  <x v="2"/>
    <x v="2"/>
    <x v="3"/>
  </r>
  <r>
    <n v="54"/>
    <x v="1"/>
    <s v="Travel_Rarely"/>
    <n v="397"/>
    <x v="2"/>
    <x v="10"/>
    <n v="4"/>
    <s v="Medical"/>
    <n v="1"/>
    <n v="698"/>
    <n v="3"/>
    <s v="Male"/>
    <n v="88"/>
    <n v="3"/>
    <n v="3"/>
    <x v="8"/>
    <x v="1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  <x v="1"/>
    <x v="2"/>
    <x v="0"/>
  </r>
  <r>
    <n v="36"/>
    <x v="1"/>
    <s v="Travel_Rarely"/>
    <n v="913"/>
    <x v="1"/>
    <x v="14"/>
    <n v="2"/>
    <s v="Medical"/>
    <n v="1"/>
    <n v="699"/>
    <n v="2"/>
    <s v="Male"/>
    <n v="48"/>
    <n v="2"/>
    <n v="2"/>
    <x v="3"/>
    <x v="1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  <x v="0"/>
    <x v="2"/>
    <x v="2"/>
  </r>
  <r>
    <n v="27"/>
    <x v="1"/>
    <s v="Travel_Rarely"/>
    <n v="1115"/>
    <x v="1"/>
    <x v="3"/>
    <n v="4"/>
    <s v="Medical"/>
    <n v="1"/>
    <n v="700"/>
    <n v="1"/>
    <s v="Male"/>
    <n v="54"/>
    <n v="2"/>
    <n v="1"/>
    <x v="1"/>
    <x v="0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  <x v="2"/>
    <x v="1"/>
    <x v="2"/>
  </r>
  <r>
    <n v="20"/>
    <x v="0"/>
    <s v="Travel_Rarely"/>
    <n v="1362"/>
    <x v="1"/>
    <x v="17"/>
    <n v="1"/>
    <s v="Medical"/>
    <n v="1"/>
    <n v="701"/>
    <n v="4"/>
    <s v="Male"/>
    <n v="32"/>
    <n v="3"/>
    <n v="1"/>
    <x v="1"/>
    <x v="2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  <x v="3"/>
    <x v="1"/>
    <x v="1"/>
  </r>
  <r>
    <n v="33"/>
    <x v="0"/>
    <s v="Travel_Frequently"/>
    <n v="1076"/>
    <x v="1"/>
    <x v="3"/>
    <n v="3"/>
    <s v="Life Sciences"/>
    <n v="1"/>
    <n v="702"/>
    <n v="1"/>
    <s v="Male"/>
    <n v="70"/>
    <n v="3"/>
    <n v="1"/>
    <x v="1"/>
    <x v="3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  <x v="2"/>
    <x v="0"/>
    <x v="0"/>
  </r>
  <r>
    <n v="35"/>
    <x v="1"/>
    <s v="Non-Travel"/>
    <n v="727"/>
    <x v="1"/>
    <x v="3"/>
    <n v="3"/>
    <s v="Life Sciences"/>
    <n v="1"/>
    <n v="704"/>
    <n v="3"/>
    <s v="Male"/>
    <n v="41"/>
    <n v="2"/>
    <n v="1"/>
    <x v="2"/>
    <x v="2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  <x v="2"/>
    <x v="1"/>
    <x v="1"/>
  </r>
  <r>
    <n v="23"/>
    <x v="1"/>
    <s v="Travel_Rarely"/>
    <n v="885"/>
    <x v="1"/>
    <x v="18"/>
    <n v="3"/>
    <s v="Medical"/>
    <n v="1"/>
    <n v="705"/>
    <n v="1"/>
    <s v="Male"/>
    <n v="58"/>
    <n v="4"/>
    <n v="1"/>
    <x v="1"/>
    <x v="3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  <x v="3"/>
    <x v="1"/>
    <x v="2"/>
  </r>
  <r>
    <n v="25"/>
    <x v="1"/>
    <s v="Travel_Rarely"/>
    <n v="810"/>
    <x v="0"/>
    <x v="1"/>
    <n v="3"/>
    <s v="Life Sciences"/>
    <n v="1"/>
    <n v="707"/>
    <n v="4"/>
    <s v="Male"/>
    <n v="57"/>
    <n v="4"/>
    <n v="2"/>
    <x v="0"/>
    <x v="1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  <x v="3"/>
    <x v="0"/>
    <x v="2"/>
  </r>
  <r>
    <n v="38"/>
    <x v="1"/>
    <s v="Travel_Rarely"/>
    <n v="243"/>
    <x v="0"/>
    <x v="15"/>
    <n v="4"/>
    <s v="Marketing"/>
    <n v="1"/>
    <n v="709"/>
    <n v="4"/>
    <s v="Female"/>
    <n v="46"/>
    <n v="2"/>
    <n v="2"/>
    <x v="0"/>
    <x v="0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  <x v="0"/>
    <x v="0"/>
    <x v="0"/>
  </r>
  <r>
    <n v="29"/>
    <x v="1"/>
    <s v="Travel_Frequently"/>
    <n v="806"/>
    <x v="1"/>
    <x v="0"/>
    <n v="4"/>
    <s v="Life Sciences"/>
    <n v="1"/>
    <n v="710"/>
    <n v="2"/>
    <s v="Male"/>
    <n v="76"/>
    <n v="1"/>
    <n v="1"/>
    <x v="1"/>
    <x v="0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  <x v="2"/>
    <x v="1"/>
    <x v="0"/>
  </r>
  <r>
    <n v="48"/>
    <x v="1"/>
    <s v="Travel_Rarely"/>
    <n v="817"/>
    <x v="0"/>
    <x v="2"/>
    <n v="1"/>
    <s v="Marketing"/>
    <n v="1"/>
    <n v="712"/>
    <n v="2"/>
    <s v="Male"/>
    <n v="56"/>
    <n v="4"/>
    <n v="2"/>
    <x v="0"/>
    <x v="1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  <x v="1"/>
    <x v="2"/>
    <x v="1"/>
  </r>
  <r>
    <n v="27"/>
    <x v="1"/>
    <s v="Travel_Frequently"/>
    <n v="1410"/>
    <x v="0"/>
    <x v="3"/>
    <n v="1"/>
    <s v="Medical"/>
    <n v="1"/>
    <n v="714"/>
    <n v="4"/>
    <s v="Female"/>
    <n v="71"/>
    <n v="4"/>
    <n v="2"/>
    <x v="0"/>
    <x v="0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  <x v="2"/>
    <x v="0"/>
    <x v="0"/>
  </r>
  <r>
    <n v="37"/>
    <x v="1"/>
    <s v="Travel_Rarely"/>
    <n v="1225"/>
    <x v="1"/>
    <x v="17"/>
    <n v="2"/>
    <s v="Life Sciences"/>
    <n v="1"/>
    <n v="715"/>
    <n v="4"/>
    <s v="Male"/>
    <n v="80"/>
    <n v="4"/>
    <n v="1"/>
    <x v="1"/>
    <x v="0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  <x v="0"/>
    <x v="0"/>
    <x v="1"/>
  </r>
  <r>
    <n v="50"/>
    <x v="1"/>
    <s v="Travel_Rarely"/>
    <n v="1207"/>
    <x v="1"/>
    <x v="26"/>
    <n v="1"/>
    <s v="Medical"/>
    <n v="1"/>
    <n v="716"/>
    <n v="4"/>
    <s v="Male"/>
    <n v="74"/>
    <n v="4"/>
    <n v="1"/>
    <x v="2"/>
    <x v="2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  <x v="1"/>
    <x v="0"/>
    <x v="3"/>
  </r>
  <r>
    <n v="34"/>
    <x v="1"/>
    <s v="Travel_Rarely"/>
    <n v="1442"/>
    <x v="1"/>
    <x v="14"/>
    <n v="3"/>
    <s v="Medical"/>
    <n v="1"/>
    <n v="717"/>
    <n v="4"/>
    <s v="Female"/>
    <n v="46"/>
    <n v="2"/>
    <n v="3"/>
    <x v="4"/>
    <x v="1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  <x v="2"/>
    <x v="2"/>
    <x v="0"/>
  </r>
  <r>
    <n v="24"/>
    <x v="0"/>
    <s v="Travel_Rarely"/>
    <n v="693"/>
    <x v="0"/>
    <x v="3"/>
    <n v="2"/>
    <s v="Life Sciences"/>
    <n v="1"/>
    <n v="720"/>
    <n v="1"/>
    <s v="Female"/>
    <n v="65"/>
    <n v="3"/>
    <n v="2"/>
    <x v="0"/>
    <x v="2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  <x v="3"/>
    <x v="0"/>
    <x v="1"/>
  </r>
  <r>
    <n v="39"/>
    <x v="1"/>
    <s v="Travel_Rarely"/>
    <n v="408"/>
    <x v="1"/>
    <x v="2"/>
    <n v="4"/>
    <s v="Technical Degree"/>
    <n v="1"/>
    <n v="721"/>
    <n v="4"/>
    <s v="Female"/>
    <n v="80"/>
    <n v="2"/>
    <n v="2"/>
    <x v="4"/>
    <x v="2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  <x v="0"/>
    <x v="0"/>
    <x v="3"/>
  </r>
  <r>
    <n v="32"/>
    <x v="1"/>
    <s v="Travel_Rarely"/>
    <n v="929"/>
    <x v="0"/>
    <x v="17"/>
    <n v="3"/>
    <s v="Marketing"/>
    <n v="1"/>
    <n v="722"/>
    <n v="4"/>
    <s v="Male"/>
    <n v="55"/>
    <n v="3"/>
    <n v="2"/>
    <x v="0"/>
    <x v="0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  <x v="2"/>
    <x v="0"/>
    <x v="0"/>
  </r>
  <r>
    <n v="50"/>
    <x v="0"/>
    <s v="Travel_Frequently"/>
    <n v="562"/>
    <x v="0"/>
    <x v="1"/>
    <n v="2"/>
    <s v="Technical Degree"/>
    <n v="1"/>
    <n v="723"/>
    <n v="2"/>
    <s v="Male"/>
    <n v="50"/>
    <n v="3"/>
    <n v="2"/>
    <x v="0"/>
    <x v="2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  <x v="1"/>
    <x v="0"/>
    <x v="2"/>
  </r>
  <r>
    <n v="38"/>
    <x v="1"/>
    <s v="Travel_Rarely"/>
    <n v="827"/>
    <x v="1"/>
    <x v="0"/>
    <n v="4"/>
    <s v="Life Sciences"/>
    <n v="1"/>
    <n v="724"/>
    <n v="2"/>
    <s v="Female"/>
    <n v="33"/>
    <n v="4"/>
    <n v="2"/>
    <x v="4"/>
    <x v="0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  <x v="0"/>
    <x v="2"/>
    <x v="0"/>
  </r>
  <r>
    <n v="27"/>
    <x v="1"/>
    <s v="Travel_Rarely"/>
    <n v="608"/>
    <x v="1"/>
    <x v="0"/>
    <n v="2"/>
    <s v="Life Sciences"/>
    <n v="1"/>
    <n v="725"/>
    <n v="3"/>
    <s v="Female"/>
    <n v="68"/>
    <n v="3"/>
    <n v="3"/>
    <x v="3"/>
    <x v="3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  <x v="2"/>
    <x v="2"/>
    <x v="0"/>
  </r>
  <r>
    <n v="32"/>
    <x v="1"/>
    <s v="Travel_Rarely"/>
    <n v="1018"/>
    <x v="1"/>
    <x v="3"/>
    <n v="2"/>
    <s v="Life Sciences"/>
    <n v="1"/>
    <n v="727"/>
    <n v="3"/>
    <s v="Female"/>
    <n v="39"/>
    <n v="3"/>
    <n v="3"/>
    <x v="7"/>
    <x v="0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  <x v="2"/>
    <x v="2"/>
    <x v="0"/>
  </r>
  <r>
    <n v="47"/>
    <x v="1"/>
    <s v="Travel_Rarely"/>
    <n v="703"/>
    <x v="0"/>
    <x v="24"/>
    <n v="4"/>
    <s v="Marketing"/>
    <n v="1"/>
    <n v="728"/>
    <n v="4"/>
    <s v="Male"/>
    <n v="42"/>
    <n v="3"/>
    <n v="2"/>
    <x v="0"/>
    <x v="3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  <x v="1"/>
    <x v="0"/>
    <x v="0"/>
  </r>
  <r>
    <n v="40"/>
    <x v="1"/>
    <s v="Travel_Frequently"/>
    <n v="580"/>
    <x v="0"/>
    <x v="12"/>
    <n v="4"/>
    <s v="Life Sciences"/>
    <n v="1"/>
    <n v="729"/>
    <n v="4"/>
    <s v="Male"/>
    <n v="48"/>
    <n v="2"/>
    <n v="3"/>
    <x v="0"/>
    <x v="3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  <x v="0"/>
    <x v="2"/>
    <x v="3"/>
  </r>
  <r>
    <n v="53"/>
    <x v="1"/>
    <s v="Travel_Rarely"/>
    <n v="970"/>
    <x v="1"/>
    <x v="15"/>
    <n v="3"/>
    <s v="Life Sciences"/>
    <n v="1"/>
    <n v="730"/>
    <n v="3"/>
    <s v="Male"/>
    <n v="59"/>
    <n v="4"/>
    <n v="4"/>
    <x v="7"/>
    <x v="2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  <x v="1"/>
    <x v="2"/>
    <x v="2"/>
  </r>
  <r>
    <n v="41"/>
    <x v="1"/>
    <s v="Travel_Rarely"/>
    <n v="427"/>
    <x v="2"/>
    <x v="17"/>
    <n v="4"/>
    <s v="Human Resources"/>
    <n v="1"/>
    <n v="731"/>
    <n v="2"/>
    <s v="Male"/>
    <n v="73"/>
    <n v="2"/>
    <n v="5"/>
    <x v="5"/>
    <x v="0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  <x v="0"/>
    <x v="2"/>
    <x v="3"/>
  </r>
  <r>
    <n v="60"/>
    <x v="1"/>
    <s v="Travel_Rarely"/>
    <n v="1179"/>
    <x v="0"/>
    <x v="7"/>
    <n v="4"/>
    <s v="Marketing"/>
    <n v="1"/>
    <n v="732"/>
    <n v="1"/>
    <s v="Male"/>
    <n v="84"/>
    <n v="3"/>
    <n v="2"/>
    <x v="0"/>
    <x v="3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  <x v="1"/>
    <x v="0"/>
    <x v="1"/>
  </r>
  <r>
    <n v="27"/>
    <x v="1"/>
    <s v="Travel_Frequently"/>
    <n v="294"/>
    <x v="1"/>
    <x v="17"/>
    <n v="2"/>
    <s v="Life Sciences"/>
    <n v="1"/>
    <n v="733"/>
    <n v="4"/>
    <s v="Male"/>
    <n v="32"/>
    <n v="3"/>
    <n v="3"/>
    <x v="3"/>
    <x v="3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  <x v="2"/>
    <x v="2"/>
    <x v="0"/>
  </r>
  <r>
    <n v="41"/>
    <x v="1"/>
    <s v="Travel_Rarely"/>
    <n v="314"/>
    <x v="2"/>
    <x v="0"/>
    <n v="3"/>
    <s v="Human Resources"/>
    <n v="1"/>
    <n v="734"/>
    <n v="4"/>
    <s v="Male"/>
    <n v="59"/>
    <n v="2"/>
    <n v="5"/>
    <x v="5"/>
    <x v="2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  <x v="0"/>
    <x v="2"/>
    <x v="3"/>
  </r>
  <r>
    <n v="50"/>
    <x v="1"/>
    <s v="Travel_Rarely"/>
    <n v="316"/>
    <x v="0"/>
    <x v="1"/>
    <n v="4"/>
    <s v="Marketing"/>
    <n v="1"/>
    <n v="738"/>
    <n v="4"/>
    <s v="Male"/>
    <n v="54"/>
    <n v="3"/>
    <n v="1"/>
    <x v="6"/>
    <x v="1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  <x v="1"/>
    <x v="0"/>
    <x v="1"/>
  </r>
  <r>
    <n v="28"/>
    <x v="0"/>
    <s v="Travel_Rarely"/>
    <n v="654"/>
    <x v="1"/>
    <x v="0"/>
    <n v="2"/>
    <s v="Life Sciences"/>
    <n v="1"/>
    <n v="741"/>
    <n v="1"/>
    <s v="Female"/>
    <n v="67"/>
    <n v="1"/>
    <n v="1"/>
    <x v="1"/>
    <x v="1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  <x v="2"/>
    <x v="1"/>
    <x v="0"/>
  </r>
  <r>
    <n v="36"/>
    <x v="1"/>
    <s v="Non-Travel"/>
    <n v="427"/>
    <x v="1"/>
    <x v="1"/>
    <n v="3"/>
    <s v="Life Sciences"/>
    <n v="1"/>
    <n v="742"/>
    <n v="1"/>
    <s v="Female"/>
    <n v="63"/>
    <n v="4"/>
    <n v="3"/>
    <x v="7"/>
    <x v="3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  <x v="0"/>
    <x v="2"/>
    <x v="0"/>
  </r>
  <r>
    <n v="38"/>
    <x v="1"/>
    <s v="Travel_Rarely"/>
    <n v="168"/>
    <x v="1"/>
    <x v="0"/>
    <n v="3"/>
    <s v="Life Sciences"/>
    <n v="1"/>
    <n v="743"/>
    <n v="3"/>
    <s v="Female"/>
    <n v="81"/>
    <n v="3"/>
    <n v="3"/>
    <x v="3"/>
    <x v="2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  <x v="0"/>
    <x v="2"/>
    <x v="1"/>
  </r>
  <r>
    <n v="44"/>
    <x v="1"/>
    <s v="Non-Travel"/>
    <n v="381"/>
    <x v="1"/>
    <x v="4"/>
    <n v="3"/>
    <s v="Medical"/>
    <n v="1"/>
    <n v="744"/>
    <n v="1"/>
    <s v="Male"/>
    <n v="49"/>
    <n v="1"/>
    <n v="1"/>
    <x v="2"/>
    <x v="2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  <x v="0"/>
    <x v="0"/>
    <x v="2"/>
  </r>
  <r>
    <n v="47"/>
    <x v="1"/>
    <s v="Travel_Frequently"/>
    <n v="217"/>
    <x v="0"/>
    <x v="3"/>
    <n v="3"/>
    <s v="Medical"/>
    <n v="1"/>
    <n v="746"/>
    <n v="4"/>
    <s v="Female"/>
    <n v="49"/>
    <n v="3"/>
    <n v="4"/>
    <x v="0"/>
    <x v="2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  <x v="1"/>
    <x v="2"/>
    <x v="3"/>
  </r>
  <r>
    <n v="30"/>
    <x v="1"/>
    <s v="Travel_Rarely"/>
    <n v="501"/>
    <x v="0"/>
    <x v="6"/>
    <n v="5"/>
    <s v="Marketing"/>
    <n v="1"/>
    <n v="747"/>
    <n v="3"/>
    <s v="Male"/>
    <n v="99"/>
    <n v="3"/>
    <n v="2"/>
    <x v="0"/>
    <x v="0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  <x v="2"/>
    <x v="0"/>
    <x v="0"/>
  </r>
  <r>
    <n v="29"/>
    <x v="1"/>
    <s v="Travel_Rarely"/>
    <n v="1396"/>
    <x v="0"/>
    <x v="17"/>
    <n v="3"/>
    <s v="Life Sciences"/>
    <n v="1"/>
    <n v="749"/>
    <n v="3"/>
    <s v="Male"/>
    <n v="99"/>
    <n v="3"/>
    <n v="1"/>
    <x v="6"/>
    <x v="2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  <x v="2"/>
    <x v="1"/>
    <x v="1"/>
  </r>
  <r>
    <n v="42"/>
    <x v="0"/>
    <s v="Travel_Frequently"/>
    <n v="933"/>
    <x v="1"/>
    <x v="10"/>
    <n v="3"/>
    <s v="Medical"/>
    <n v="1"/>
    <n v="752"/>
    <n v="3"/>
    <s v="Male"/>
    <n v="57"/>
    <n v="4"/>
    <n v="1"/>
    <x v="1"/>
    <x v="2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  <x v="0"/>
    <x v="1"/>
    <x v="1"/>
  </r>
  <r>
    <n v="43"/>
    <x v="1"/>
    <s v="Travel_Frequently"/>
    <n v="775"/>
    <x v="0"/>
    <x v="8"/>
    <n v="3"/>
    <s v="Life Sciences"/>
    <n v="1"/>
    <n v="754"/>
    <n v="4"/>
    <s v="Male"/>
    <n v="47"/>
    <n v="2"/>
    <n v="2"/>
    <x v="0"/>
    <x v="0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  <x v="0"/>
    <x v="0"/>
    <x v="1"/>
  </r>
  <r>
    <n v="34"/>
    <x v="1"/>
    <s v="Travel_Rarely"/>
    <n v="970"/>
    <x v="1"/>
    <x v="1"/>
    <n v="2"/>
    <s v="Medical"/>
    <n v="1"/>
    <n v="757"/>
    <n v="2"/>
    <s v="Female"/>
    <n v="96"/>
    <n v="3"/>
    <n v="2"/>
    <x v="4"/>
    <x v="2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  <x v="2"/>
    <x v="0"/>
    <x v="2"/>
  </r>
  <r>
    <n v="23"/>
    <x v="1"/>
    <s v="Travel_Rarely"/>
    <n v="650"/>
    <x v="1"/>
    <x v="14"/>
    <n v="1"/>
    <s v="Medical"/>
    <n v="1"/>
    <n v="758"/>
    <n v="2"/>
    <s v="Male"/>
    <n v="37"/>
    <n v="3"/>
    <n v="1"/>
    <x v="2"/>
    <x v="3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  <x v="3"/>
    <x v="1"/>
    <x v="2"/>
  </r>
  <r>
    <n v="39"/>
    <x v="1"/>
    <s v="Travel_Rarely"/>
    <n v="141"/>
    <x v="2"/>
    <x v="3"/>
    <n v="3"/>
    <s v="Human Resources"/>
    <n v="1"/>
    <n v="760"/>
    <n v="3"/>
    <s v="Female"/>
    <n v="44"/>
    <n v="4"/>
    <n v="2"/>
    <x v="8"/>
    <x v="1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  <x v="0"/>
    <x v="0"/>
    <x v="0"/>
  </r>
  <r>
    <n v="56"/>
    <x v="1"/>
    <s v="Travel_Rarely"/>
    <n v="832"/>
    <x v="1"/>
    <x v="14"/>
    <n v="3"/>
    <s v="Medical"/>
    <n v="1"/>
    <n v="762"/>
    <n v="3"/>
    <s v="Male"/>
    <n v="81"/>
    <n v="3"/>
    <n v="4"/>
    <x v="4"/>
    <x v="0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  <x v="1"/>
    <x v="2"/>
    <x v="0"/>
  </r>
  <r>
    <n v="40"/>
    <x v="1"/>
    <s v="Travel_Rarely"/>
    <n v="804"/>
    <x v="1"/>
    <x v="2"/>
    <n v="1"/>
    <s v="Medical"/>
    <n v="1"/>
    <n v="763"/>
    <n v="4"/>
    <s v="Female"/>
    <n v="86"/>
    <n v="2"/>
    <n v="1"/>
    <x v="1"/>
    <x v="0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  <x v="0"/>
    <x v="1"/>
    <x v="2"/>
  </r>
  <r>
    <n v="27"/>
    <x v="1"/>
    <s v="Travel_Rarely"/>
    <n v="975"/>
    <x v="1"/>
    <x v="15"/>
    <n v="3"/>
    <s v="Medical"/>
    <n v="1"/>
    <n v="764"/>
    <n v="4"/>
    <s v="Female"/>
    <n v="55"/>
    <n v="2"/>
    <n v="2"/>
    <x v="4"/>
    <x v="3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  <x v="2"/>
    <x v="0"/>
    <x v="0"/>
  </r>
  <r>
    <n v="29"/>
    <x v="1"/>
    <s v="Travel_Rarely"/>
    <n v="1090"/>
    <x v="0"/>
    <x v="17"/>
    <n v="3"/>
    <s v="Marketing"/>
    <n v="1"/>
    <n v="766"/>
    <n v="4"/>
    <s v="Male"/>
    <n v="83"/>
    <n v="3"/>
    <n v="1"/>
    <x v="6"/>
    <x v="1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  <x v="2"/>
    <x v="1"/>
    <x v="1"/>
  </r>
  <r>
    <n v="53"/>
    <x v="1"/>
    <s v="Travel_Rarely"/>
    <n v="346"/>
    <x v="1"/>
    <x v="16"/>
    <n v="3"/>
    <s v="Life Sciences"/>
    <n v="1"/>
    <n v="769"/>
    <n v="4"/>
    <s v="Male"/>
    <n v="86"/>
    <n v="3"/>
    <n v="2"/>
    <x v="2"/>
    <x v="0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  <x v="1"/>
    <x v="1"/>
    <x v="1"/>
  </r>
  <r>
    <n v="35"/>
    <x v="1"/>
    <s v="Non-Travel"/>
    <n v="1225"/>
    <x v="1"/>
    <x v="2"/>
    <n v="4"/>
    <s v="Life Sciences"/>
    <n v="1"/>
    <n v="771"/>
    <n v="4"/>
    <s v="Female"/>
    <n v="61"/>
    <n v="3"/>
    <n v="2"/>
    <x v="4"/>
    <x v="3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  <x v="2"/>
    <x v="0"/>
    <x v="1"/>
  </r>
  <r>
    <n v="32"/>
    <x v="1"/>
    <s v="Travel_Frequently"/>
    <n v="430"/>
    <x v="1"/>
    <x v="4"/>
    <n v="4"/>
    <s v="Life Sciences"/>
    <n v="1"/>
    <n v="772"/>
    <n v="1"/>
    <s v="Male"/>
    <n v="80"/>
    <n v="3"/>
    <n v="2"/>
    <x v="2"/>
    <x v="0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  <x v="2"/>
    <x v="0"/>
    <x v="0"/>
  </r>
  <r>
    <n v="38"/>
    <x v="1"/>
    <s v="Travel_Rarely"/>
    <n v="268"/>
    <x v="1"/>
    <x v="2"/>
    <n v="5"/>
    <s v="Medical"/>
    <n v="1"/>
    <n v="773"/>
    <n v="4"/>
    <s v="Male"/>
    <n v="92"/>
    <n v="3"/>
    <n v="1"/>
    <x v="1"/>
    <x v="2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  <x v="0"/>
    <x v="0"/>
    <x v="1"/>
  </r>
  <r>
    <n v="34"/>
    <x v="1"/>
    <s v="Travel_Rarely"/>
    <n v="167"/>
    <x v="1"/>
    <x v="1"/>
    <n v="5"/>
    <s v="Life Sciences"/>
    <n v="1"/>
    <n v="775"/>
    <n v="2"/>
    <s v="Female"/>
    <n v="32"/>
    <n v="3"/>
    <n v="2"/>
    <x v="3"/>
    <x v="3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  <x v="2"/>
    <x v="0"/>
    <x v="1"/>
  </r>
  <r>
    <n v="52"/>
    <x v="1"/>
    <s v="Travel_Rarely"/>
    <n v="621"/>
    <x v="0"/>
    <x v="3"/>
    <n v="4"/>
    <s v="Marketing"/>
    <n v="1"/>
    <n v="776"/>
    <n v="3"/>
    <s v="Male"/>
    <n v="31"/>
    <n v="2"/>
    <n v="4"/>
    <x v="5"/>
    <x v="3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  <x v="1"/>
    <x v="2"/>
    <x v="3"/>
  </r>
  <r>
    <n v="33"/>
    <x v="0"/>
    <s v="Travel_Rarely"/>
    <n v="527"/>
    <x v="1"/>
    <x v="0"/>
    <n v="4"/>
    <s v="Other"/>
    <n v="1"/>
    <n v="780"/>
    <n v="4"/>
    <s v="Male"/>
    <n v="63"/>
    <n v="3"/>
    <n v="1"/>
    <x v="1"/>
    <x v="0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  <x v="2"/>
    <x v="1"/>
    <x v="0"/>
  </r>
  <r>
    <n v="25"/>
    <x v="1"/>
    <s v="Travel_Rarely"/>
    <n v="883"/>
    <x v="0"/>
    <x v="9"/>
    <n v="1"/>
    <s v="Medical"/>
    <n v="1"/>
    <n v="781"/>
    <n v="3"/>
    <s v="Female"/>
    <n v="32"/>
    <n v="3"/>
    <n v="2"/>
    <x v="0"/>
    <x v="0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  <x v="3"/>
    <x v="0"/>
    <x v="0"/>
  </r>
  <r>
    <n v="45"/>
    <x v="1"/>
    <s v="Travel_Rarely"/>
    <n v="954"/>
    <x v="0"/>
    <x v="2"/>
    <n v="2"/>
    <s v="Technical Degree"/>
    <n v="1"/>
    <n v="783"/>
    <n v="2"/>
    <s v="Male"/>
    <n v="46"/>
    <n v="1"/>
    <n v="2"/>
    <x v="6"/>
    <x v="2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  <x v="0"/>
    <x v="0"/>
    <x v="0"/>
  </r>
  <r>
    <n v="23"/>
    <x v="1"/>
    <s v="Travel_Rarely"/>
    <n v="310"/>
    <x v="1"/>
    <x v="17"/>
    <n v="1"/>
    <s v="Medical"/>
    <n v="1"/>
    <n v="784"/>
    <n v="1"/>
    <s v="Male"/>
    <n v="79"/>
    <n v="4"/>
    <n v="1"/>
    <x v="1"/>
    <x v="2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  <x v="3"/>
    <x v="0"/>
    <x v="1"/>
  </r>
  <r>
    <n v="47"/>
    <x v="0"/>
    <s v="Travel_Frequently"/>
    <n v="719"/>
    <x v="0"/>
    <x v="6"/>
    <n v="2"/>
    <s v="Life Sciences"/>
    <n v="1"/>
    <n v="785"/>
    <n v="2"/>
    <s v="Female"/>
    <n v="77"/>
    <n v="4"/>
    <n v="2"/>
    <x v="0"/>
    <x v="2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  <x v="1"/>
    <x v="0"/>
    <x v="2"/>
  </r>
  <r>
    <n v="34"/>
    <x v="1"/>
    <s v="Travel_Rarely"/>
    <n v="304"/>
    <x v="0"/>
    <x v="2"/>
    <n v="3"/>
    <s v="Other"/>
    <n v="1"/>
    <n v="786"/>
    <n v="4"/>
    <s v="Male"/>
    <n v="60"/>
    <n v="3"/>
    <n v="2"/>
    <x v="0"/>
    <x v="0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  <x v="2"/>
    <x v="0"/>
    <x v="0"/>
  </r>
  <r>
    <n v="55"/>
    <x v="0"/>
    <s v="Travel_Rarely"/>
    <n v="725"/>
    <x v="1"/>
    <x v="2"/>
    <n v="3"/>
    <s v="Medical"/>
    <n v="1"/>
    <n v="787"/>
    <n v="4"/>
    <s v="Male"/>
    <n v="78"/>
    <n v="3"/>
    <n v="5"/>
    <x v="5"/>
    <x v="3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  <x v="1"/>
    <x v="2"/>
    <x v="2"/>
  </r>
  <r>
    <n v="36"/>
    <x v="1"/>
    <s v="Non-Travel"/>
    <n v="1434"/>
    <x v="0"/>
    <x v="1"/>
    <n v="4"/>
    <s v="Life Sciences"/>
    <n v="1"/>
    <n v="789"/>
    <n v="1"/>
    <s v="Male"/>
    <n v="76"/>
    <n v="2"/>
    <n v="3"/>
    <x v="0"/>
    <x v="3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  <x v="0"/>
    <x v="2"/>
    <x v="0"/>
  </r>
  <r>
    <n v="52"/>
    <x v="1"/>
    <s v="Non-Travel"/>
    <n v="715"/>
    <x v="1"/>
    <x v="10"/>
    <n v="4"/>
    <s v="Medical"/>
    <n v="1"/>
    <n v="791"/>
    <n v="4"/>
    <s v="Male"/>
    <n v="41"/>
    <n v="3"/>
    <n v="1"/>
    <x v="1"/>
    <x v="0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  <x v="1"/>
    <x v="0"/>
    <x v="2"/>
  </r>
  <r>
    <n v="26"/>
    <x v="1"/>
    <s v="Travel_Frequently"/>
    <n v="575"/>
    <x v="1"/>
    <x v="0"/>
    <n v="2"/>
    <s v="Life Sciences"/>
    <n v="1"/>
    <n v="792"/>
    <n v="1"/>
    <s v="Female"/>
    <n v="71"/>
    <n v="1"/>
    <n v="1"/>
    <x v="2"/>
    <x v="0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  <x v="2"/>
    <x v="0"/>
    <x v="1"/>
  </r>
  <r>
    <n v="29"/>
    <x v="1"/>
    <s v="Travel_Rarely"/>
    <n v="657"/>
    <x v="1"/>
    <x v="6"/>
    <n v="3"/>
    <s v="Medical"/>
    <n v="1"/>
    <n v="793"/>
    <n v="2"/>
    <s v="Female"/>
    <n v="66"/>
    <n v="3"/>
    <n v="2"/>
    <x v="4"/>
    <x v="2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  <x v="2"/>
    <x v="0"/>
    <x v="0"/>
  </r>
  <r>
    <n v="26"/>
    <x v="0"/>
    <s v="Travel_Rarely"/>
    <n v="1146"/>
    <x v="0"/>
    <x v="1"/>
    <n v="3"/>
    <s v="Technical Degree"/>
    <n v="1"/>
    <n v="796"/>
    <n v="4"/>
    <s v="Male"/>
    <n v="38"/>
    <n v="2"/>
    <n v="2"/>
    <x v="0"/>
    <x v="3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  <x v="2"/>
    <x v="0"/>
    <x v="2"/>
  </r>
  <r>
    <n v="34"/>
    <x v="1"/>
    <s v="Travel_Rarely"/>
    <n v="182"/>
    <x v="1"/>
    <x v="0"/>
    <n v="4"/>
    <s v="Life Sciences"/>
    <n v="1"/>
    <n v="797"/>
    <n v="2"/>
    <s v="Female"/>
    <n v="72"/>
    <n v="4"/>
    <n v="1"/>
    <x v="1"/>
    <x v="0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  <x v="2"/>
    <x v="0"/>
    <x v="2"/>
  </r>
  <r>
    <n v="54"/>
    <x v="1"/>
    <s v="Travel_Rarely"/>
    <n v="376"/>
    <x v="1"/>
    <x v="10"/>
    <n v="4"/>
    <s v="Medical"/>
    <n v="1"/>
    <n v="799"/>
    <n v="4"/>
    <s v="Female"/>
    <n v="95"/>
    <n v="3"/>
    <n v="2"/>
    <x v="3"/>
    <x v="3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  <x v="1"/>
    <x v="0"/>
    <x v="2"/>
  </r>
  <r>
    <n v="27"/>
    <x v="1"/>
    <s v="Travel_Frequently"/>
    <n v="829"/>
    <x v="0"/>
    <x v="1"/>
    <n v="1"/>
    <s v="Marketing"/>
    <n v="1"/>
    <n v="800"/>
    <n v="3"/>
    <s v="Male"/>
    <n v="84"/>
    <n v="3"/>
    <n v="2"/>
    <x v="0"/>
    <x v="0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  <x v="2"/>
    <x v="0"/>
    <x v="2"/>
  </r>
  <r>
    <n v="37"/>
    <x v="1"/>
    <s v="Travel_Rarely"/>
    <n v="571"/>
    <x v="1"/>
    <x v="17"/>
    <n v="1"/>
    <s v="Life Sciences"/>
    <n v="1"/>
    <n v="802"/>
    <n v="4"/>
    <s v="Female"/>
    <n v="82"/>
    <n v="3"/>
    <n v="1"/>
    <x v="1"/>
    <x v="3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  <x v="0"/>
    <x v="1"/>
    <x v="2"/>
  </r>
  <r>
    <n v="38"/>
    <x v="1"/>
    <s v="Travel_Frequently"/>
    <n v="240"/>
    <x v="1"/>
    <x v="2"/>
    <n v="4"/>
    <s v="Life Sciences"/>
    <n v="1"/>
    <n v="803"/>
    <n v="1"/>
    <s v="Female"/>
    <n v="75"/>
    <n v="4"/>
    <n v="2"/>
    <x v="3"/>
    <x v="3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  <x v="0"/>
    <x v="0"/>
    <x v="3"/>
  </r>
  <r>
    <n v="34"/>
    <x v="1"/>
    <s v="Travel_Rarely"/>
    <n v="121"/>
    <x v="1"/>
    <x v="2"/>
    <n v="4"/>
    <s v="Medical"/>
    <n v="1"/>
    <n v="804"/>
    <n v="3"/>
    <s v="Female"/>
    <n v="86"/>
    <n v="2"/>
    <n v="1"/>
    <x v="1"/>
    <x v="3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  <x v="2"/>
    <x v="0"/>
    <x v="0"/>
  </r>
  <r>
    <n v="35"/>
    <x v="1"/>
    <s v="Travel_Rarely"/>
    <n v="384"/>
    <x v="0"/>
    <x v="1"/>
    <n v="4"/>
    <s v="Life Sciences"/>
    <n v="1"/>
    <n v="805"/>
    <n v="1"/>
    <s v="Female"/>
    <n v="72"/>
    <n v="3"/>
    <n v="1"/>
    <x v="6"/>
    <x v="0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  <x v="2"/>
    <x v="1"/>
    <x v="2"/>
  </r>
  <r>
    <n v="30"/>
    <x v="1"/>
    <s v="Travel_Rarely"/>
    <n v="921"/>
    <x v="1"/>
    <x v="0"/>
    <n v="3"/>
    <s v="Life Sciences"/>
    <n v="1"/>
    <n v="806"/>
    <n v="4"/>
    <s v="Male"/>
    <n v="38"/>
    <n v="1"/>
    <n v="1"/>
    <x v="2"/>
    <x v="2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  <x v="2"/>
    <x v="0"/>
    <x v="1"/>
  </r>
  <r>
    <n v="40"/>
    <x v="1"/>
    <s v="Travel_Frequently"/>
    <n v="791"/>
    <x v="1"/>
    <x v="2"/>
    <n v="2"/>
    <s v="Medical"/>
    <n v="1"/>
    <n v="807"/>
    <n v="3"/>
    <s v="Female"/>
    <n v="38"/>
    <n v="4"/>
    <n v="2"/>
    <x v="4"/>
    <x v="1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  <x v="0"/>
    <x v="0"/>
    <x v="0"/>
  </r>
  <r>
    <n v="34"/>
    <x v="1"/>
    <s v="Travel_Rarely"/>
    <n v="1111"/>
    <x v="0"/>
    <x v="1"/>
    <n v="2"/>
    <s v="Life Sciences"/>
    <n v="1"/>
    <n v="808"/>
    <n v="3"/>
    <s v="Female"/>
    <n v="93"/>
    <n v="3"/>
    <n v="2"/>
    <x v="0"/>
    <x v="3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  <x v="2"/>
    <x v="0"/>
    <x v="2"/>
  </r>
  <r>
    <n v="42"/>
    <x v="1"/>
    <s v="Travel_Frequently"/>
    <n v="570"/>
    <x v="1"/>
    <x v="1"/>
    <n v="3"/>
    <s v="Life Sciences"/>
    <n v="1"/>
    <n v="809"/>
    <n v="2"/>
    <s v="Male"/>
    <n v="66"/>
    <n v="3"/>
    <n v="5"/>
    <x v="5"/>
    <x v="0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  <x v="0"/>
    <x v="2"/>
    <x v="3"/>
  </r>
  <r>
    <n v="23"/>
    <x v="0"/>
    <s v="Travel_Rarely"/>
    <n v="1243"/>
    <x v="1"/>
    <x v="16"/>
    <n v="3"/>
    <s v="Life Sciences"/>
    <n v="1"/>
    <n v="811"/>
    <n v="3"/>
    <s v="Male"/>
    <n v="63"/>
    <n v="4"/>
    <n v="1"/>
    <x v="2"/>
    <x v="3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  <x v="3"/>
    <x v="1"/>
    <x v="1"/>
  </r>
  <r>
    <n v="24"/>
    <x v="1"/>
    <s v="Non-Travel"/>
    <n v="1092"/>
    <x v="1"/>
    <x v="14"/>
    <n v="3"/>
    <s v="Life Sciences"/>
    <n v="1"/>
    <n v="812"/>
    <n v="3"/>
    <s v="Male"/>
    <n v="60"/>
    <n v="2"/>
    <n v="1"/>
    <x v="2"/>
    <x v="1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  <x v="3"/>
    <x v="1"/>
    <x v="1"/>
  </r>
  <r>
    <n v="52"/>
    <x v="1"/>
    <s v="Travel_Rarely"/>
    <n v="1325"/>
    <x v="1"/>
    <x v="13"/>
    <n v="4"/>
    <s v="Life Sciences"/>
    <n v="1"/>
    <n v="813"/>
    <n v="4"/>
    <s v="Female"/>
    <n v="82"/>
    <n v="3"/>
    <n v="2"/>
    <x v="2"/>
    <x v="2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  <x v="1"/>
    <x v="0"/>
    <x v="2"/>
  </r>
  <r>
    <n v="50"/>
    <x v="1"/>
    <s v="Travel_Rarely"/>
    <n v="691"/>
    <x v="1"/>
    <x v="2"/>
    <n v="3"/>
    <s v="Medical"/>
    <n v="1"/>
    <n v="815"/>
    <n v="3"/>
    <s v="Male"/>
    <n v="64"/>
    <n v="3"/>
    <n v="4"/>
    <x v="7"/>
    <x v="2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  <x v="1"/>
    <x v="2"/>
    <x v="2"/>
  </r>
  <r>
    <n v="29"/>
    <x v="0"/>
    <s v="Travel_Rarely"/>
    <n v="805"/>
    <x v="1"/>
    <x v="0"/>
    <n v="2"/>
    <s v="Life Sciences"/>
    <n v="1"/>
    <n v="816"/>
    <n v="2"/>
    <s v="Female"/>
    <n v="36"/>
    <n v="2"/>
    <n v="1"/>
    <x v="2"/>
    <x v="3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  <x v="2"/>
    <x v="1"/>
    <x v="1"/>
  </r>
  <r>
    <n v="33"/>
    <x v="1"/>
    <s v="Travel_Rarely"/>
    <n v="213"/>
    <x v="1"/>
    <x v="15"/>
    <n v="3"/>
    <s v="Medical"/>
    <n v="1"/>
    <n v="817"/>
    <n v="3"/>
    <s v="Male"/>
    <n v="49"/>
    <n v="3"/>
    <n v="3"/>
    <x v="7"/>
    <x v="2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  <x v="2"/>
    <x v="2"/>
    <x v="3"/>
  </r>
  <r>
    <n v="33"/>
    <x v="0"/>
    <s v="Travel_Rarely"/>
    <n v="118"/>
    <x v="0"/>
    <x v="7"/>
    <n v="3"/>
    <s v="Marketing"/>
    <n v="1"/>
    <n v="819"/>
    <n v="1"/>
    <s v="Female"/>
    <n v="69"/>
    <n v="3"/>
    <n v="2"/>
    <x v="0"/>
    <x v="3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  <x v="2"/>
    <x v="0"/>
    <x v="2"/>
  </r>
  <r>
    <n v="47"/>
    <x v="1"/>
    <s v="Travel_Rarely"/>
    <n v="202"/>
    <x v="1"/>
    <x v="2"/>
    <n v="2"/>
    <s v="Other"/>
    <n v="1"/>
    <n v="820"/>
    <n v="3"/>
    <s v="Female"/>
    <n v="33"/>
    <n v="3"/>
    <n v="4"/>
    <x v="5"/>
    <x v="0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  <x v="1"/>
    <x v="2"/>
    <x v="3"/>
  </r>
  <r>
    <n v="36"/>
    <x v="1"/>
    <s v="Travel_Rarely"/>
    <n v="676"/>
    <x v="1"/>
    <x v="0"/>
    <n v="3"/>
    <s v="Other"/>
    <n v="1"/>
    <n v="823"/>
    <n v="3"/>
    <s v="Female"/>
    <n v="35"/>
    <n v="3"/>
    <n v="2"/>
    <x v="3"/>
    <x v="1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  <x v="0"/>
    <x v="0"/>
    <x v="0"/>
  </r>
  <r>
    <n v="29"/>
    <x v="1"/>
    <s v="Travel_Rarely"/>
    <n v="1252"/>
    <x v="1"/>
    <x v="5"/>
    <n v="2"/>
    <s v="Life Sciences"/>
    <n v="1"/>
    <n v="824"/>
    <n v="3"/>
    <s v="Male"/>
    <n v="81"/>
    <n v="4"/>
    <n v="1"/>
    <x v="1"/>
    <x v="2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  <x v="2"/>
    <x v="1"/>
    <x v="0"/>
  </r>
  <r>
    <n v="58"/>
    <x v="0"/>
    <s v="Travel_Rarely"/>
    <n v="286"/>
    <x v="1"/>
    <x v="2"/>
    <n v="4"/>
    <s v="Life Sciences"/>
    <n v="1"/>
    <n v="825"/>
    <n v="4"/>
    <s v="Male"/>
    <n v="31"/>
    <n v="3"/>
    <n v="5"/>
    <x v="7"/>
    <x v="1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  <x v="1"/>
    <x v="2"/>
    <x v="3"/>
  </r>
  <r>
    <n v="35"/>
    <x v="1"/>
    <s v="Travel_Rarely"/>
    <n v="1258"/>
    <x v="1"/>
    <x v="0"/>
    <n v="4"/>
    <s v="Life Sciences"/>
    <n v="1"/>
    <n v="826"/>
    <n v="4"/>
    <s v="Female"/>
    <n v="40"/>
    <n v="4"/>
    <n v="1"/>
    <x v="1"/>
    <x v="2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  <x v="2"/>
    <x v="1"/>
    <x v="1"/>
  </r>
  <r>
    <n v="42"/>
    <x v="1"/>
    <s v="Travel_Rarely"/>
    <n v="932"/>
    <x v="1"/>
    <x v="0"/>
    <n v="2"/>
    <s v="Life Sciences"/>
    <n v="1"/>
    <n v="827"/>
    <n v="4"/>
    <s v="Female"/>
    <n v="43"/>
    <n v="2"/>
    <n v="2"/>
    <x v="3"/>
    <x v="0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  <x v="0"/>
    <x v="0"/>
    <x v="2"/>
  </r>
  <r>
    <n v="28"/>
    <x v="0"/>
    <s v="Travel_Rarely"/>
    <n v="890"/>
    <x v="1"/>
    <x v="2"/>
    <n v="4"/>
    <s v="Medical"/>
    <n v="1"/>
    <n v="828"/>
    <n v="3"/>
    <s v="Male"/>
    <n v="46"/>
    <n v="3"/>
    <n v="1"/>
    <x v="1"/>
    <x v="2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  <x v="2"/>
    <x v="0"/>
    <x v="1"/>
  </r>
  <r>
    <n v="36"/>
    <x v="1"/>
    <s v="Travel_Rarely"/>
    <n v="1041"/>
    <x v="2"/>
    <x v="28"/>
    <n v="3"/>
    <s v="Human Resources"/>
    <n v="1"/>
    <n v="829"/>
    <n v="3"/>
    <s v="Male"/>
    <n v="36"/>
    <n v="3"/>
    <n v="1"/>
    <x v="8"/>
    <x v="1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  <x v="0"/>
    <x v="1"/>
    <x v="2"/>
  </r>
  <r>
    <n v="32"/>
    <x v="1"/>
    <s v="Travel_Rarely"/>
    <n v="859"/>
    <x v="1"/>
    <x v="18"/>
    <n v="3"/>
    <s v="Life Sciences"/>
    <n v="1"/>
    <n v="830"/>
    <n v="3"/>
    <s v="Female"/>
    <n v="98"/>
    <n v="2"/>
    <n v="2"/>
    <x v="3"/>
    <x v="2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  <x v="2"/>
    <x v="0"/>
    <x v="3"/>
  </r>
  <r>
    <n v="40"/>
    <x v="1"/>
    <s v="Travel_Frequently"/>
    <n v="720"/>
    <x v="1"/>
    <x v="7"/>
    <n v="4"/>
    <s v="Medical"/>
    <n v="1"/>
    <n v="832"/>
    <n v="1"/>
    <s v="Male"/>
    <n v="51"/>
    <n v="2"/>
    <n v="2"/>
    <x v="2"/>
    <x v="2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  <x v="0"/>
    <x v="0"/>
    <x v="1"/>
  </r>
  <r>
    <n v="30"/>
    <x v="1"/>
    <s v="Travel_Rarely"/>
    <n v="946"/>
    <x v="1"/>
    <x v="2"/>
    <n v="3"/>
    <s v="Medical"/>
    <n v="1"/>
    <n v="833"/>
    <n v="3"/>
    <s v="Female"/>
    <n v="52"/>
    <n v="2"/>
    <n v="2"/>
    <x v="3"/>
    <x v="0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  <x v="2"/>
    <x v="0"/>
    <x v="1"/>
  </r>
  <r>
    <n v="45"/>
    <x v="1"/>
    <s v="Travel_Rarely"/>
    <n v="252"/>
    <x v="1"/>
    <x v="2"/>
    <n v="3"/>
    <s v="Life Sciences"/>
    <n v="1"/>
    <n v="834"/>
    <n v="2"/>
    <s v="Female"/>
    <n v="95"/>
    <n v="2"/>
    <n v="1"/>
    <x v="1"/>
    <x v="2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  <x v="0"/>
    <x v="1"/>
    <x v="1"/>
  </r>
  <r>
    <n v="42"/>
    <x v="1"/>
    <s v="Travel_Rarely"/>
    <n v="933"/>
    <x v="1"/>
    <x v="22"/>
    <n v="3"/>
    <s v="Life Sciences"/>
    <n v="1"/>
    <n v="836"/>
    <n v="2"/>
    <s v="Male"/>
    <n v="98"/>
    <n v="3"/>
    <n v="2"/>
    <x v="3"/>
    <x v="1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  <x v="0"/>
    <x v="0"/>
    <x v="0"/>
  </r>
  <r>
    <n v="38"/>
    <x v="1"/>
    <s v="Travel_Frequently"/>
    <n v="471"/>
    <x v="1"/>
    <x v="20"/>
    <n v="3"/>
    <s v="Life Sciences"/>
    <n v="1"/>
    <n v="837"/>
    <n v="1"/>
    <s v="Male"/>
    <n v="45"/>
    <n v="2"/>
    <n v="2"/>
    <x v="4"/>
    <x v="3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  <x v="0"/>
    <x v="0"/>
    <x v="2"/>
  </r>
  <r>
    <n v="34"/>
    <x v="1"/>
    <s v="Travel_Frequently"/>
    <n v="702"/>
    <x v="1"/>
    <x v="7"/>
    <n v="4"/>
    <s v="Life Sciences"/>
    <n v="1"/>
    <n v="838"/>
    <n v="3"/>
    <s v="Female"/>
    <n v="100"/>
    <n v="2"/>
    <n v="1"/>
    <x v="1"/>
    <x v="0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  <x v="2"/>
    <x v="1"/>
    <x v="2"/>
  </r>
  <r>
    <n v="49"/>
    <x v="0"/>
    <s v="Travel_Rarely"/>
    <n v="1184"/>
    <x v="0"/>
    <x v="13"/>
    <n v="3"/>
    <s v="Marketing"/>
    <n v="1"/>
    <n v="840"/>
    <n v="3"/>
    <s v="Female"/>
    <n v="43"/>
    <n v="3"/>
    <n v="3"/>
    <x v="0"/>
    <x v="0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  <x v="1"/>
    <x v="2"/>
    <x v="0"/>
  </r>
  <r>
    <n v="55"/>
    <x v="0"/>
    <s v="Travel_Rarely"/>
    <n v="436"/>
    <x v="0"/>
    <x v="2"/>
    <n v="1"/>
    <s v="Medical"/>
    <n v="1"/>
    <n v="842"/>
    <n v="3"/>
    <s v="Male"/>
    <n v="37"/>
    <n v="3"/>
    <n v="2"/>
    <x v="0"/>
    <x v="0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  <x v="1"/>
    <x v="0"/>
    <x v="0"/>
  </r>
  <r>
    <n v="43"/>
    <x v="1"/>
    <s v="Travel_Rarely"/>
    <n v="589"/>
    <x v="1"/>
    <x v="24"/>
    <n v="2"/>
    <s v="Life Sciences"/>
    <n v="1"/>
    <n v="843"/>
    <n v="2"/>
    <s v="Male"/>
    <n v="94"/>
    <n v="3"/>
    <n v="4"/>
    <x v="7"/>
    <x v="3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  <x v="0"/>
    <x v="2"/>
    <x v="2"/>
  </r>
  <r>
    <n v="27"/>
    <x v="1"/>
    <s v="Travel_Rarely"/>
    <n v="269"/>
    <x v="1"/>
    <x v="12"/>
    <n v="1"/>
    <s v="Technical Degree"/>
    <n v="1"/>
    <n v="844"/>
    <n v="3"/>
    <s v="Male"/>
    <n v="42"/>
    <n v="2"/>
    <n v="3"/>
    <x v="7"/>
    <x v="0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  <x v="2"/>
    <x v="2"/>
    <x v="0"/>
  </r>
  <r>
    <n v="35"/>
    <x v="1"/>
    <s v="Travel_Rarely"/>
    <n v="950"/>
    <x v="1"/>
    <x v="15"/>
    <n v="3"/>
    <s v="Other"/>
    <n v="1"/>
    <n v="845"/>
    <n v="3"/>
    <s v="Male"/>
    <n v="59"/>
    <n v="3"/>
    <n v="3"/>
    <x v="3"/>
    <x v="2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  <x v="2"/>
    <x v="2"/>
    <x v="0"/>
  </r>
  <r>
    <n v="28"/>
    <x v="1"/>
    <s v="Travel_Rarely"/>
    <n v="760"/>
    <x v="0"/>
    <x v="2"/>
    <n v="4"/>
    <s v="Marketing"/>
    <n v="1"/>
    <n v="846"/>
    <n v="2"/>
    <s v="Female"/>
    <n v="81"/>
    <n v="3"/>
    <n v="2"/>
    <x v="0"/>
    <x v="1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  <x v="2"/>
    <x v="0"/>
    <x v="0"/>
  </r>
  <r>
    <n v="34"/>
    <x v="1"/>
    <s v="Travel_Rarely"/>
    <n v="829"/>
    <x v="2"/>
    <x v="3"/>
    <n v="2"/>
    <s v="Human Resources"/>
    <n v="1"/>
    <n v="847"/>
    <n v="3"/>
    <s v="Male"/>
    <n v="88"/>
    <n v="3"/>
    <n v="1"/>
    <x v="8"/>
    <x v="0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  <x v="2"/>
    <x v="0"/>
    <x v="2"/>
  </r>
  <r>
    <n v="26"/>
    <x v="0"/>
    <s v="Travel_Frequently"/>
    <n v="887"/>
    <x v="1"/>
    <x v="12"/>
    <n v="2"/>
    <s v="Medical"/>
    <n v="1"/>
    <n v="848"/>
    <n v="3"/>
    <s v="Female"/>
    <n v="88"/>
    <n v="2"/>
    <n v="1"/>
    <x v="1"/>
    <x v="2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  <x v="2"/>
    <x v="1"/>
    <x v="0"/>
  </r>
  <r>
    <n v="27"/>
    <x v="1"/>
    <s v="Non-Travel"/>
    <n v="443"/>
    <x v="1"/>
    <x v="3"/>
    <n v="3"/>
    <s v="Medical"/>
    <n v="1"/>
    <n v="850"/>
    <n v="4"/>
    <s v="Male"/>
    <n v="50"/>
    <n v="3"/>
    <n v="1"/>
    <x v="1"/>
    <x v="0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  <x v="2"/>
    <x v="1"/>
    <x v="1"/>
  </r>
  <r>
    <n v="51"/>
    <x v="1"/>
    <s v="Travel_Rarely"/>
    <n v="1318"/>
    <x v="0"/>
    <x v="9"/>
    <n v="4"/>
    <s v="Marketing"/>
    <n v="1"/>
    <n v="851"/>
    <n v="1"/>
    <s v="Female"/>
    <n v="66"/>
    <n v="3"/>
    <n v="4"/>
    <x v="5"/>
    <x v="2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  <x v="1"/>
    <x v="2"/>
    <x v="3"/>
  </r>
  <r>
    <n v="44"/>
    <x v="1"/>
    <s v="Travel_Rarely"/>
    <n v="625"/>
    <x v="1"/>
    <x v="18"/>
    <n v="3"/>
    <s v="Medical"/>
    <n v="1"/>
    <n v="852"/>
    <n v="4"/>
    <s v="Male"/>
    <n v="50"/>
    <n v="3"/>
    <n v="2"/>
    <x v="4"/>
    <x v="1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  <x v="0"/>
    <x v="0"/>
    <x v="2"/>
  </r>
  <r>
    <n v="25"/>
    <x v="1"/>
    <s v="Travel_Rarely"/>
    <n v="180"/>
    <x v="1"/>
    <x v="2"/>
    <n v="1"/>
    <s v="Medical"/>
    <n v="1"/>
    <n v="854"/>
    <n v="1"/>
    <s v="Male"/>
    <n v="65"/>
    <n v="4"/>
    <n v="1"/>
    <x v="1"/>
    <x v="3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  <x v="3"/>
    <x v="0"/>
    <x v="2"/>
  </r>
  <r>
    <n v="33"/>
    <x v="1"/>
    <s v="Travel_Rarely"/>
    <n v="586"/>
    <x v="0"/>
    <x v="0"/>
    <n v="3"/>
    <s v="Medical"/>
    <n v="1"/>
    <n v="855"/>
    <n v="1"/>
    <s v="Male"/>
    <n v="48"/>
    <n v="4"/>
    <n v="2"/>
    <x v="0"/>
    <x v="3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  <x v="2"/>
    <x v="0"/>
    <x v="0"/>
  </r>
  <r>
    <n v="35"/>
    <x v="1"/>
    <s v="Travel_Rarely"/>
    <n v="1343"/>
    <x v="1"/>
    <x v="6"/>
    <n v="1"/>
    <s v="Medical"/>
    <n v="1"/>
    <n v="856"/>
    <n v="3"/>
    <s v="Female"/>
    <n v="53"/>
    <n v="2"/>
    <n v="1"/>
    <x v="1"/>
    <x v="3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  <x v="2"/>
    <x v="1"/>
    <x v="0"/>
  </r>
  <r>
    <n v="36"/>
    <x v="1"/>
    <s v="Travel_Rarely"/>
    <n v="928"/>
    <x v="0"/>
    <x v="0"/>
    <n v="2"/>
    <s v="Life Sciences"/>
    <n v="1"/>
    <n v="857"/>
    <n v="2"/>
    <s v="Male"/>
    <n v="56"/>
    <n v="3"/>
    <n v="2"/>
    <x v="0"/>
    <x v="0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  <x v="0"/>
    <x v="0"/>
    <x v="3"/>
  </r>
  <r>
    <n v="32"/>
    <x v="1"/>
    <s v="Travel_Rarely"/>
    <n v="117"/>
    <x v="0"/>
    <x v="28"/>
    <n v="4"/>
    <s v="Life Sciences"/>
    <n v="1"/>
    <n v="859"/>
    <n v="2"/>
    <s v="Male"/>
    <n v="73"/>
    <n v="3"/>
    <n v="2"/>
    <x v="0"/>
    <x v="0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  <x v="2"/>
    <x v="0"/>
    <x v="2"/>
  </r>
  <r>
    <n v="30"/>
    <x v="1"/>
    <s v="Travel_Frequently"/>
    <n v="1012"/>
    <x v="1"/>
    <x v="12"/>
    <n v="4"/>
    <s v="Life Sciences"/>
    <n v="1"/>
    <n v="861"/>
    <n v="2"/>
    <s v="Male"/>
    <n v="75"/>
    <n v="2"/>
    <n v="1"/>
    <x v="1"/>
    <x v="0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  <x v="2"/>
    <x v="0"/>
    <x v="2"/>
  </r>
  <r>
    <n v="53"/>
    <x v="1"/>
    <s v="Travel_Rarely"/>
    <n v="661"/>
    <x v="0"/>
    <x v="15"/>
    <n v="2"/>
    <s v="Marketing"/>
    <n v="1"/>
    <n v="862"/>
    <n v="1"/>
    <s v="Female"/>
    <n v="78"/>
    <n v="2"/>
    <n v="3"/>
    <x v="0"/>
    <x v="0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  <x v="1"/>
    <x v="2"/>
    <x v="2"/>
  </r>
  <r>
    <n v="45"/>
    <x v="1"/>
    <s v="Travel_Rarely"/>
    <n v="930"/>
    <x v="0"/>
    <x v="14"/>
    <n v="3"/>
    <s v="Marketing"/>
    <n v="1"/>
    <n v="864"/>
    <n v="4"/>
    <s v="Male"/>
    <n v="74"/>
    <n v="3"/>
    <n v="3"/>
    <x v="0"/>
    <x v="3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  <x v="0"/>
    <x v="2"/>
    <x v="2"/>
  </r>
  <r>
    <n v="32"/>
    <x v="1"/>
    <s v="Travel_Rarely"/>
    <n v="638"/>
    <x v="1"/>
    <x v="1"/>
    <n v="2"/>
    <s v="Medical"/>
    <n v="1"/>
    <n v="865"/>
    <n v="3"/>
    <s v="Female"/>
    <n v="91"/>
    <n v="4"/>
    <n v="2"/>
    <x v="1"/>
    <x v="2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  <x v="2"/>
    <x v="0"/>
    <x v="2"/>
  </r>
  <r>
    <n v="52"/>
    <x v="1"/>
    <s v="Travel_Frequently"/>
    <n v="890"/>
    <x v="1"/>
    <x v="19"/>
    <n v="4"/>
    <s v="Medical"/>
    <n v="1"/>
    <n v="867"/>
    <n v="3"/>
    <s v="Female"/>
    <n v="81"/>
    <n v="2"/>
    <n v="4"/>
    <x v="3"/>
    <x v="0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  <x v="1"/>
    <x v="2"/>
    <x v="0"/>
  </r>
  <r>
    <n v="37"/>
    <x v="1"/>
    <s v="Travel_Rarely"/>
    <n v="342"/>
    <x v="0"/>
    <x v="7"/>
    <n v="4"/>
    <s v="Marketing"/>
    <n v="1"/>
    <n v="868"/>
    <n v="4"/>
    <s v="Male"/>
    <n v="66"/>
    <n v="2"/>
    <n v="2"/>
    <x v="0"/>
    <x v="2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  <x v="0"/>
    <x v="0"/>
    <x v="1"/>
  </r>
  <r>
    <n v="28"/>
    <x v="1"/>
    <s v="Travel_Rarely"/>
    <n v="1169"/>
    <x v="2"/>
    <x v="1"/>
    <n v="2"/>
    <s v="Medical"/>
    <n v="1"/>
    <n v="869"/>
    <n v="2"/>
    <s v="Male"/>
    <n v="63"/>
    <n v="2"/>
    <n v="1"/>
    <x v="8"/>
    <x v="0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  <x v="2"/>
    <x v="0"/>
    <x v="2"/>
  </r>
  <r>
    <n v="22"/>
    <x v="1"/>
    <s v="Travel_Rarely"/>
    <n v="1230"/>
    <x v="1"/>
    <x v="0"/>
    <n v="2"/>
    <s v="Life Sciences"/>
    <n v="1"/>
    <n v="872"/>
    <n v="4"/>
    <s v="Male"/>
    <n v="33"/>
    <n v="2"/>
    <n v="2"/>
    <x v="3"/>
    <x v="0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  <x v="3"/>
    <x v="0"/>
    <x v="1"/>
  </r>
  <r>
    <n v="44"/>
    <x v="1"/>
    <s v="Travel_Rarely"/>
    <n v="986"/>
    <x v="1"/>
    <x v="1"/>
    <n v="4"/>
    <s v="Life Sciences"/>
    <n v="1"/>
    <n v="874"/>
    <n v="1"/>
    <s v="Male"/>
    <n v="62"/>
    <n v="4"/>
    <n v="1"/>
    <x v="2"/>
    <x v="0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  <x v="0"/>
    <x v="1"/>
    <x v="2"/>
  </r>
  <r>
    <n v="42"/>
    <x v="1"/>
    <s v="Travel_Frequently"/>
    <n v="1271"/>
    <x v="1"/>
    <x v="2"/>
    <n v="1"/>
    <s v="Medical"/>
    <n v="1"/>
    <n v="875"/>
    <n v="2"/>
    <s v="Male"/>
    <n v="35"/>
    <n v="3"/>
    <n v="1"/>
    <x v="1"/>
    <x v="0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  <x v="0"/>
    <x v="1"/>
    <x v="1"/>
  </r>
  <r>
    <n v="36"/>
    <x v="1"/>
    <s v="Travel_Rarely"/>
    <n v="1278"/>
    <x v="2"/>
    <x v="1"/>
    <n v="3"/>
    <s v="Life Sciences"/>
    <n v="1"/>
    <n v="878"/>
    <n v="1"/>
    <s v="Male"/>
    <n v="77"/>
    <n v="2"/>
    <n v="1"/>
    <x v="8"/>
    <x v="3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  <x v="0"/>
    <x v="1"/>
    <x v="2"/>
  </r>
  <r>
    <n v="25"/>
    <x v="1"/>
    <s v="Travel_Rarely"/>
    <n v="141"/>
    <x v="0"/>
    <x v="3"/>
    <n v="1"/>
    <s v="Other"/>
    <n v="1"/>
    <n v="879"/>
    <n v="3"/>
    <s v="Male"/>
    <n v="98"/>
    <n v="3"/>
    <n v="2"/>
    <x v="0"/>
    <x v="3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  <x v="3"/>
    <x v="0"/>
    <x v="2"/>
  </r>
  <r>
    <n v="35"/>
    <x v="1"/>
    <s v="Travel_Rarely"/>
    <n v="607"/>
    <x v="1"/>
    <x v="14"/>
    <n v="3"/>
    <s v="Life Sciences"/>
    <n v="1"/>
    <n v="880"/>
    <n v="4"/>
    <s v="Female"/>
    <n v="66"/>
    <n v="2"/>
    <n v="3"/>
    <x v="3"/>
    <x v="2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  <x v="2"/>
    <x v="2"/>
    <x v="3"/>
  </r>
  <r>
    <n v="35"/>
    <x v="0"/>
    <s v="Travel_Frequently"/>
    <n v="130"/>
    <x v="1"/>
    <x v="19"/>
    <n v="4"/>
    <s v="Life Sciences"/>
    <n v="1"/>
    <n v="881"/>
    <n v="4"/>
    <s v="Female"/>
    <n v="96"/>
    <n v="3"/>
    <n v="1"/>
    <x v="1"/>
    <x v="1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  <x v="2"/>
    <x v="1"/>
    <x v="0"/>
  </r>
  <r>
    <n v="32"/>
    <x v="1"/>
    <s v="Non-Travel"/>
    <n v="300"/>
    <x v="1"/>
    <x v="0"/>
    <n v="3"/>
    <s v="Life Sciences"/>
    <n v="1"/>
    <n v="882"/>
    <n v="4"/>
    <s v="Male"/>
    <n v="61"/>
    <n v="3"/>
    <n v="1"/>
    <x v="2"/>
    <x v="0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  <x v="2"/>
    <x v="1"/>
    <x v="2"/>
  </r>
  <r>
    <n v="25"/>
    <x v="1"/>
    <s v="Travel_Rarely"/>
    <n v="583"/>
    <x v="0"/>
    <x v="18"/>
    <n v="1"/>
    <s v="Marketing"/>
    <n v="1"/>
    <n v="885"/>
    <n v="3"/>
    <s v="Male"/>
    <n v="87"/>
    <n v="2"/>
    <n v="2"/>
    <x v="0"/>
    <x v="3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  <x v="3"/>
    <x v="0"/>
    <x v="2"/>
  </r>
  <r>
    <n v="49"/>
    <x v="1"/>
    <s v="Travel_Rarely"/>
    <n v="1418"/>
    <x v="1"/>
    <x v="0"/>
    <n v="3"/>
    <s v="Technical Degree"/>
    <n v="1"/>
    <n v="887"/>
    <n v="3"/>
    <s v="Female"/>
    <n v="36"/>
    <n v="3"/>
    <n v="1"/>
    <x v="1"/>
    <x v="3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  <x v="1"/>
    <x v="0"/>
    <x v="2"/>
  </r>
  <r>
    <n v="24"/>
    <x v="1"/>
    <s v="Non-Travel"/>
    <n v="1269"/>
    <x v="1"/>
    <x v="18"/>
    <n v="1"/>
    <s v="Life Sciences"/>
    <n v="1"/>
    <n v="888"/>
    <n v="1"/>
    <s v="Male"/>
    <n v="46"/>
    <n v="2"/>
    <n v="1"/>
    <x v="2"/>
    <x v="0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  <x v="3"/>
    <x v="0"/>
    <x v="2"/>
  </r>
  <r>
    <n v="32"/>
    <x v="1"/>
    <s v="Travel_Frequently"/>
    <n v="379"/>
    <x v="0"/>
    <x v="12"/>
    <n v="2"/>
    <s v="Life Sciences"/>
    <n v="1"/>
    <n v="889"/>
    <n v="2"/>
    <s v="Male"/>
    <n v="48"/>
    <n v="3"/>
    <n v="2"/>
    <x v="0"/>
    <x v="1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  <x v="2"/>
    <x v="0"/>
    <x v="0"/>
  </r>
  <r>
    <n v="38"/>
    <x v="1"/>
    <s v="Travel_Rarely"/>
    <n v="395"/>
    <x v="0"/>
    <x v="14"/>
    <n v="3"/>
    <s v="Marketing"/>
    <n v="1"/>
    <n v="893"/>
    <n v="2"/>
    <s v="Male"/>
    <n v="98"/>
    <n v="2"/>
    <n v="1"/>
    <x v="6"/>
    <x v="1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  <x v="0"/>
    <x v="1"/>
    <x v="1"/>
  </r>
  <r>
    <n v="42"/>
    <x v="1"/>
    <s v="Travel_Rarely"/>
    <n v="1265"/>
    <x v="1"/>
    <x v="3"/>
    <n v="3"/>
    <s v="Life Sciences"/>
    <n v="1"/>
    <n v="894"/>
    <n v="3"/>
    <s v="Female"/>
    <n v="95"/>
    <n v="4"/>
    <n v="2"/>
    <x v="2"/>
    <x v="0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  <x v="0"/>
    <x v="0"/>
    <x v="2"/>
  </r>
  <r>
    <n v="31"/>
    <x v="1"/>
    <s v="Travel_Rarely"/>
    <n v="1222"/>
    <x v="1"/>
    <x v="13"/>
    <n v="4"/>
    <s v="Life Sciences"/>
    <n v="1"/>
    <n v="895"/>
    <n v="4"/>
    <s v="Male"/>
    <n v="48"/>
    <n v="3"/>
    <n v="1"/>
    <x v="1"/>
    <x v="0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  <x v="2"/>
    <x v="1"/>
    <x v="0"/>
  </r>
  <r>
    <n v="29"/>
    <x v="0"/>
    <s v="Travel_Rarely"/>
    <n v="341"/>
    <x v="0"/>
    <x v="0"/>
    <n v="3"/>
    <s v="Medical"/>
    <n v="1"/>
    <n v="896"/>
    <n v="2"/>
    <s v="Female"/>
    <n v="48"/>
    <n v="2"/>
    <n v="1"/>
    <x v="6"/>
    <x v="2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  <x v="2"/>
    <x v="1"/>
    <x v="2"/>
  </r>
  <r>
    <n v="53"/>
    <x v="1"/>
    <s v="Travel_Rarely"/>
    <n v="868"/>
    <x v="0"/>
    <x v="1"/>
    <n v="3"/>
    <s v="Marketing"/>
    <n v="1"/>
    <n v="897"/>
    <n v="1"/>
    <s v="Male"/>
    <n v="73"/>
    <n v="3"/>
    <n v="4"/>
    <x v="0"/>
    <x v="0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  <x v="1"/>
    <x v="2"/>
    <x v="1"/>
  </r>
  <r>
    <n v="35"/>
    <x v="1"/>
    <s v="Travel_Rarely"/>
    <n v="672"/>
    <x v="1"/>
    <x v="19"/>
    <n v="3"/>
    <s v="Technical Degree"/>
    <n v="1"/>
    <n v="899"/>
    <n v="4"/>
    <s v="Male"/>
    <n v="78"/>
    <n v="2"/>
    <n v="3"/>
    <x v="3"/>
    <x v="1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  <x v="2"/>
    <x v="2"/>
    <x v="3"/>
  </r>
  <r>
    <n v="37"/>
    <x v="1"/>
    <s v="Travel_Frequently"/>
    <n v="1231"/>
    <x v="0"/>
    <x v="11"/>
    <n v="2"/>
    <s v="Medical"/>
    <n v="1"/>
    <n v="900"/>
    <n v="3"/>
    <s v="Female"/>
    <n v="54"/>
    <n v="3"/>
    <n v="1"/>
    <x v="6"/>
    <x v="0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  <x v="0"/>
    <x v="1"/>
    <x v="2"/>
  </r>
  <r>
    <n v="53"/>
    <x v="1"/>
    <s v="Travel_Rarely"/>
    <n v="102"/>
    <x v="1"/>
    <x v="5"/>
    <n v="4"/>
    <s v="Life Sciences"/>
    <n v="1"/>
    <n v="901"/>
    <n v="4"/>
    <s v="Female"/>
    <n v="72"/>
    <n v="3"/>
    <n v="4"/>
    <x v="7"/>
    <x v="0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  <x v="1"/>
    <x v="2"/>
    <x v="3"/>
  </r>
  <r>
    <n v="43"/>
    <x v="1"/>
    <s v="Travel_Frequently"/>
    <n v="422"/>
    <x v="1"/>
    <x v="0"/>
    <n v="3"/>
    <s v="Life Sciences"/>
    <n v="1"/>
    <n v="902"/>
    <n v="4"/>
    <s v="Female"/>
    <n v="33"/>
    <n v="3"/>
    <n v="2"/>
    <x v="4"/>
    <x v="0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  <x v="0"/>
    <x v="0"/>
    <x v="2"/>
  </r>
  <r>
    <n v="47"/>
    <x v="1"/>
    <s v="Travel_Rarely"/>
    <n v="249"/>
    <x v="0"/>
    <x v="2"/>
    <n v="2"/>
    <s v="Marketing"/>
    <n v="1"/>
    <n v="903"/>
    <n v="3"/>
    <s v="Female"/>
    <n v="35"/>
    <n v="3"/>
    <n v="2"/>
    <x v="0"/>
    <x v="0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  <x v="1"/>
    <x v="0"/>
    <x v="0"/>
  </r>
  <r>
    <n v="37"/>
    <x v="1"/>
    <s v="Non-Travel"/>
    <n v="1252"/>
    <x v="0"/>
    <x v="10"/>
    <n v="2"/>
    <s v="Medical"/>
    <n v="1"/>
    <n v="904"/>
    <n v="1"/>
    <s v="Male"/>
    <n v="32"/>
    <n v="3"/>
    <n v="3"/>
    <x v="0"/>
    <x v="1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  <x v="0"/>
    <x v="2"/>
    <x v="0"/>
  </r>
  <r>
    <n v="50"/>
    <x v="1"/>
    <s v="Non-Travel"/>
    <n v="881"/>
    <x v="1"/>
    <x v="2"/>
    <n v="4"/>
    <s v="Life Sciences"/>
    <n v="1"/>
    <n v="905"/>
    <n v="1"/>
    <s v="Male"/>
    <n v="98"/>
    <n v="3"/>
    <n v="4"/>
    <x v="5"/>
    <x v="3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  <x v="1"/>
    <x v="2"/>
    <x v="3"/>
  </r>
  <r>
    <n v="39"/>
    <x v="1"/>
    <s v="Travel_Rarely"/>
    <n v="1383"/>
    <x v="2"/>
    <x v="2"/>
    <n v="3"/>
    <s v="Life Sciences"/>
    <n v="1"/>
    <n v="909"/>
    <n v="4"/>
    <s v="Female"/>
    <n v="42"/>
    <n v="2"/>
    <n v="2"/>
    <x v="8"/>
    <x v="0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  <x v="0"/>
    <x v="0"/>
    <x v="2"/>
  </r>
  <r>
    <n v="33"/>
    <x v="1"/>
    <s v="Travel_Rarely"/>
    <n v="1075"/>
    <x v="2"/>
    <x v="3"/>
    <n v="2"/>
    <s v="Human Resources"/>
    <n v="1"/>
    <n v="910"/>
    <n v="4"/>
    <s v="Male"/>
    <n v="57"/>
    <n v="3"/>
    <n v="1"/>
    <x v="8"/>
    <x v="1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  <x v="2"/>
    <x v="1"/>
    <x v="2"/>
  </r>
  <r>
    <n v="32"/>
    <x v="0"/>
    <s v="Travel_Rarely"/>
    <n v="374"/>
    <x v="1"/>
    <x v="19"/>
    <n v="4"/>
    <s v="Life Sciences"/>
    <n v="1"/>
    <n v="911"/>
    <n v="1"/>
    <s v="Male"/>
    <n v="87"/>
    <n v="3"/>
    <n v="1"/>
    <x v="2"/>
    <x v="0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  <x v="2"/>
    <x v="1"/>
    <x v="1"/>
  </r>
  <r>
    <n v="29"/>
    <x v="1"/>
    <s v="Travel_Rarely"/>
    <n v="1086"/>
    <x v="1"/>
    <x v="15"/>
    <n v="1"/>
    <s v="Medical"/>
    <n v="1"/>
    <n v="912"/>
    <n v="1"/>
    <s v="Female"/>
    <n v="62"/>
    <n v="2"/>
    <n v="1"/>
    <x v="2"/>
    <x v="0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  <x v="2"/>
    <x v="1"/>
    <x v="2"/>
  </r>
  <r>
    <n v="44"/>
    <x v="1"/>
    <s v="Travel_Rarely"/>
    <n v="661"/>
    <x v="1"/>
    <x v="14"/>
    <n v="2"/>
    <s v="Life Sciences"/>
    <n v="1"/>
    <n v="913"/>
    <n v="2"/>
    <s v="Male"/>
    <n v="61"/>
    <n v="3"/>
    <n v="1"/>
    <x v="1"/>
    <x v="3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  <x v="0"/>
    <x v="1"/>
    <x v="0"/>
  </r>
  <r>
    <n v="28"/>
    <x v="1"/>
    <s v="Travel_Rarely"/>
    <n v="821"/>
    <x v="0"/>
    <x v="12"/>
    <n v="4"/>
    <s v="Medical"/>
    <n v="1"/>
    <n v="916"/>
    <n v="1"/>
    <s v="Male"/>
    <n v="98"/>
    <n v="3"/>
    <n v="2"/>
    <x v="0"/>
    <x v="0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  <x v="2"/>
    <x v="0"/>
    <x v="2"/>
  </r>
  <r>
    <n v="58"/>
    <x v="0"/>
    <s v="Travel_Frequently"/>
    <n v="781"/>
    <x v="1"/>
    <x v="2"/>
    <n v="1"/>
    <s v="Life Sciences"/>
    <n v="1"/>
    <n v="918"/>
    <n v="4"/>
    <s v="Male"/>
    <n v="57"/>
    <n v="2"/>
    <n v="1"/>
    <x v="2"/>
    <x v="0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  <x v="1"/>
    <x v="1"/>
    <x v="1"/>
  </r>
  <r>
    <n v="43"/>
    <x v="1"/>
    <s v="Travel_Rarely"/>
    <n v="177"/>
    <x v="1"/>
    <x v="1"/>
    <n v="3"/>
    <s v="Life Sciences"/>
    <n v="1"/>
    <n v="920"/>
    <n v="1"/>
    <s v="Female"/>
    <n v="55"/>
    <n v="3"/>
    <n v="2"/>
    <x v="3"/>
    <x v="1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  <x v="0"/>
    <x v="0"/>
    <x v="1"/>
  </r>
  <r>
    <n v="20"/>
    <x v="0"/>
    <s v="Travel_Rarely"/>
    <n v="500"/>
    <x v="0"/>
    <x v="2"/>
    <n v="3"/>
    <s v="Medical"/>
    <n v="1"/>
    <n v="922"/>
    <n v="3"/>
    <s v="Female"/>
    <n v="49"/>
    <n v="2"/>
    <n v="1"/>
    <x v="6"/>
    <x v="2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  <x v="3"/>
    <x v="1"/>
    <x v="1"/>
  </r>
  <r>
    <n v="21"/>
    <x v="0"/>
    <s v="Travel_Rarely"/>
    <n v="1427"/>
    <x v="1"/>
    <x v="21"/>
    <n v="1"/>
    <s v="Other"/>
    <n v="1"/>
    <n v="923"/>
    <n v="4"/>
    <s v="Female"/>
    <n v="65"/>
    <n v="3"/>
    <n v="1"/>
    <x v="1"/>
    <x v="0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  <x v="3"/>
    <x v="1"/>
    <x v="1"/>
  </r>
  <r>
    <n v="36"/>
    <x v="1"/>
    <s v="Travel_Rarely"/>
    <n v="1425"/>
    <x v="1"/>
    <x v="24"/>
    <n v="1"/>
    <s v="Life Sciences"/>
    <n v="1"/>
    <n v="924"/>
    <n v="3"/>
    <s v="Male"/>
    <n v="68"/>
    <n v="3"/>
    <n v="2"/>
    <x v="4"/>
    <x v="0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  <x v="0"/>
    <x v="0"/>
    <x v="3"/>
  </r>
  <r>
    <n v="47"/>
    <x v="1"/>
    <s v="Travel_Rarely"/>
    <n v="1454"/>
    <x v="0"/>
    <x v="2"/>
    <n v="4"/>
    <s v="Life Sciences"/>
    <n v="1"/>
    <n v="925"/>
    <n v="4"/>
    <s v="Female"/>
    <n v="65"/>
    <n v="2"/>
    <n v="1"/>
    <x v="6"/>
    <x v="0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  <x v="1"/>
    <x v="0"/>
    <x v="2"/>
  </r>
  <r>
    <n v="22"/>
    <x v="0"/>
    <s v="Travel_Rarely"/>
    <n v="617"/>
    <x v="1"/>
    <x v="3"/>
    <n v="1"/>
    <s v="Life Sciences"/>
    <n v="1"/>
    <n v="926"/>
    <n v="2"/>
    <s v="Female"/>
    <n v="34"/>
    <n v="3"/>
    <n v="2"/>
    <x v="3"/>
    <x v="2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  <x v="3"/>
    <x v="0"/>
    <x v="2"/>
  </r>
  <r>
    <n v="41"/>
    <x v="0"/>
    <s v="Travel_Rarely"/>
    <n v="1085"/>
    <x v="1"/>
    <x v="2"/>
    <n v="4"/>
    <s v="Life Sciences"/>
    <n v="1"/>
    <n v="927"/>
    <n v="2"/>
    <s v="Female"/>
    <n v="57"/>
    <n v="1"/>
    <n v="1"/>
    <x v="2"/>
    <x v="0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  <x v="0"/>
    <x v="1"/>
    <x v="0"/>
  </r>
  <r>
    <n v="28"/>
    <x v="1"/>
    <s v="Travel_Rarely"/>
    <n v="995"/>
    <x v="1"/>
    <x v="14"/>
    <n v="3"/>
    <s v="Medical"/>
    <n v="1"/>
    <n v="930"/>
    <n v="3"/>
    <s v="Female"/>
    <n v="77"/>
    <n v="3"/>
    <n v="1"/>
    <x v="1"/>
    <x v="2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  <x v="2"/>
    <x v="1"/>
    <x v="1"/>
  </r>
  <r>
    <n v="39"/>
    <x v="0"/>
    <s v="Travel_Rarely"/>
    <n v="1122"/>
    <x v="1"/>
    <x v="16"/>
    <n v="3"/>
    <s v="Medical"/>
    <n v="1"/>
    <n v="932"/>
    <n v="4"/>
    <s v="Male"/>
    <n v="70"/>
    <n v="3"/>
    <n v="1"/>
    <x v="2"/>
    <x v="3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  <x v="0"/>
    <x v="1"/>
    <x v="1"/>
  </r>
  <r>
    <n v="27"/>
    <x v="1"/>
    <s v="Travel_Rarely"/>
    <n v="618"/>
    <x v="1"/>
    <x v="18"/>
    <n v="3"/>
    <s v="Life Sciences"/>
    <n v="1"/>
    <n v="933"/>
    <n v="2"/>
    <s v="Female"/>
    <n v="76"/>
    <n v="3"/>
    <n v="1"/>
    <x v="1"/>
    <x v="2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  <x v="2"/>
    <x v="1"/>
    <x v="1"/>
  </r>
  <r>
    <n v="34"/>
    <x v="1"/>
    <s v="Travel_Rarely"/>
    <n v="546"/>
    <x v="1"/>
    <x v="17"/>
    <n v="3"/>
    <s v="Life Sciences"/>
    <n v="1"/>
    <n v="934"/>
    <n v="2"/>
    <s v="Male"/>
    <n v="83"/>
    <n v="3"/>
    <n v="1"/>
    <x v="2"/>
    <x v="1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  <x v="2"/>
    <x v="1"/>
    <x v="1"/>
  </r>
  <r>
    <n v="42"/>
    <x v="1"/>
    <s v="Travel_Rarely"/>
    <n v="462"/>
    <x v="0"/>
    <x v="24"/>
    <n v="2"/>
    <s v="Medical"/>
    <n v="1"/>
    <n v="936"/>
    <n v="3"/>
    <s v="Female"/>
    <n v="68"/>
    <n v="2"/>
    <n v="2"/>
    <x v="0"/>
    <x v="2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  <x v="0"/>
    <x v="0"/>
    <x v="2"/>
  </r>
  <r>
    <n v="33"/>
    <x v="1"/>
    <s v="Travel_Rarely"/>
    <n v="1198"/>
    <x v="1"/>
    <x v="0"/>
    <n v="4"/>
    <s v="Other"/>
    <n v="1"/>
    <n v="939"/>
    <n v="3"/>
    <s v="Male"/>
    <n v="100"/>
    <n v="2"/>
    <n v="1"/>
    <x v="1"/>
    <x v="3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  <x v="2"/>
    <x v="1"/>
    <x v="2"/>
  </r>
  <r>
    <n v="58"/>
    <x v="1"/>
    <s v="Travel_Rarely"/>
    <n v="1272"/>
    <x v="1"/>
    <x v="12"/>
    <n v="3"/>
    <s v="Technical Degree"/>
    <n v="1"/>
    <n v="940"/>
    <n v="3"/>
    <s v="Female"/>
    <n v="37"/>
    <n v="2"/>
    <n v="3"/>
    <x v="4"/>
    <x v="1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  <x v="1"/>
    <x v="2"/>
    <x v="0"/>
  </r>
  <r>
    <n v="31"/>
    <x v="1"/>
    <s v="Travel_Rarely"/>
    <n v="154"/>
    <x v="0"/>
    <x v="15"/>
    <n v="4"/>
    <s v="Life Sciences"/>
    <n v="1"/>
    <n v="941"/>
    <n v="2"/>
    <s v="Male"/>
    <n v="41"/>
    <n v="2"/>
    <n v="1"/>
    <x v="6"/>
    <x v="2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  <x v="2"/>
    <x v="1"/>
    <x v="0"/>
  </r>
  <r>
    <n v="35"/>
    <x v="1"/>
    <s v="Travel_Rarely"/>
    <n v="1137"/>
    <x v="1"/>
    <x v="11"/>
    <n v="1"/>
    <s v="Life Sciences"/>
    <n v="1"/>
    <n v="942"/>
    <n v="4"/>
    <s v="Female"/>
    <n v="51"/>
    <n v="3"/>
    <n v="2"/>
    <x v="4"/>
    <x v="0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  <x v="2"/>
    <x v="0"/>
    <x v="0"/>
  </r>
  <r>
    <n v="49"/>
    <x v="1"/>
    <s v="Travel_Rarely"/>
    <n v="527"/>
    <x v="1"/>
    <x v="1"/>
    <n v="2"/>
    <s v="Other"/>
    <n v="1"/>
    <n v="944"/>
    <n v="1"/>
    <s v="Female"/>
    <n v="51"/>
    <n v="3"/>
    <n v="3"/>
    <x v="2"/>
    <x v="1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  <x v="1"/>
    <x v="2"/>
    <x v="3"/>
  </r>
  <r>
    <n v="48"/>
    <x v="1"/>
    <s v="Travel_Rarely"/>
    <n v="1469"/>
    <x v="1"/>
    <x v="25"/>
    <n v="4"/>
    <s v="Medical"/>
    <n v="1"/>
    <n v="945"/>
    <n v="4"/>
    <s v="Male"/>
    <n v="51"/>
    <n v="3"/>
    <n v="1"/>
    <x v="1"/>
    <x v="2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  <x v="1"/>
    <x v="1"/>
    <x v="1"/>
  </r>
  <r>
    <n v="31"/>
    <x v="1"/>
    <s v="Non-Travel"/>
    <n v="1188"/>
    <x v="0"/>
    <x v="25"/>
    <n v="2"/>
    <s v="Marketing"/>
    <n v="1"/>
    <n v="947"/>
    <n v="4"/>
    <s v="Female"/>
    <n v="45"/>
    <n v="3"/>
    <n v="2"/>
    <x v="0"/>
    <x v="2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  <x v="2"/>
    <x v="0"/>
    <x v="0"/>
  </r>
  <r>
    <n v="36"/>
    <x v="1"/>
    <s v="Travel_Rarely"/>
    <n v="188"/>
    <x v="1"/>
    <x v="15"/>
    <n v="4"/>
    <s v="Other"/>
    <n v="1"/>
    <n v="949"/>
    <n v="2"/>
    <s v="Male"/>
    <n v="65"/>
    <n v="3"/>
    <n v="1"/>
    <x v="1"/>
    <x v="0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  <x v="0"/>
    <x v="0"/>
    <x v="0"/>
  </r>
  <r>
    <n v="38"/>
    <x v="1"/>
    <s v="Travel_Rarely"/>
    <n v="1333"/>
    <x v="1"/>
    <x v="0"/>
    <n v="3"/>
    <s v="Technical Degree"/>
    <n v="1"/>
    <n v="950"/>
    <n v="4"/>
    <s v="Female"/>
    <n v="80"/>
    <n v="3"/>
    <n v="3"/>
    <x v="7"/>
    <x v="3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  <x v="0"/>
    <x v="2"/>
    <x v="3"/>
  </r>
  <r>
    <n v="32"/>
    <x v="1"/>
    <s v="Non-Travel"/>
    <n v="1184"/>
    <x v="1"/>
    <x v="0"/>
    <n v="3"/>
    <s v="Life Sciences"/>
    <n v="1"/>
    <n v="951"/>
    <n v="3"/>
    <s v="Female"/>
    <n v="70"/>
    <n v="2"/>
    <n v="1"/>
    <x v="2"/>
    <x v="1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  <x v="2"/>
    <x v="1"/>
    <x v="2"/>
  </r>
  <r>
    <n v="25"/>
    <x v="0"/>
    <s v="Travel_Rarely"/>
    <n v="867"/>
    <x v="0"/>
    <x v="10"/>
    <n v="2"/>
    <s v="Marketing"/>
    <n v="1"/>
    <n v="952"/>
    <n v="3"/>
    <s v="Male"/>
    <n v="36"/>
    <n v="2"/>
    <n v="1"/>
    <x v="6"/>
    <x v="1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  <x v="3"/>
    <x v="1"/>
    <x v="1"/>
  </r>
  <r>
    <n v="40"/>
    <x v="1"/>
    <s v="Travel_Rarely"/>
    <n v="658"/>
    <x v="0"/>
    <x v="17"/>
    <n v="4"/>
    <s v="Marketing"/>
    <n v="1"/>
    <n v="954"/>
    <n v="1"/>
    <s v="Male"/>
    <n v="67"/>
    <n v="2"/>
    <n v="3"/>
    <x v="0"/>
    <x v="1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  <x v="0"/>
    <x v="2"/>
    <x v="1"/>
  </r>
  <r>
    <n v="26"/>
    <x v="1"/>
    <s v="Travel_Frequently"/>
    <n v="1283"/>
    <x v="0"/>
    <x v="0"/>
    <n v="3"/>
    <s v="Medical"/>
    <n v="1"/>
    <n v="956"/>
    <n v="3"/>
    <s v="Male"/>
    <n v="52"/>
    <n v="2"/>
    <n v="2"/>
    <x v="0"/>
    <x v="3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  <x v="2"/>
    <x v="0"/>
    <x v="0"/>
  </r>
  <r>
    <n v="41"/>
    <x v="1"/>
    <s v="Travel_Rarely"/>
    <n v="263"/>
    <x v="1"/>
    <x v="16"/>
    <n v="3"/>
    <s v="Medical"/>
    <n v="1"/>
    <n v="957"/>
    <n v="4"/>
    <s v="Male"/>
    <n v="59"/>
    <n v="3"/>
    <n v="1"/>
    <x v="2"/>
    <x v="3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  <x v="0"/>
    <x v="0"/>
    <x v="3"/>
  </r>
  <r>
    <n v="36"/>
    <x v="1"/>
    <s v="Travel_Rarely"/>
    <n v="938"/>
    <x v="1"/>
    <x v="2"/>
    <n v="4"/>
    <s v="Medical"/>
    <n v="1"/>
    <n v="958"/>
    <n v="3"/>
    <s v="Male"/>
    <n v="79"/>
    <n v="3"/>
    <n v="1"/>
    <x v="2"/>
    <x v="2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  <x v="0"/>
    <x v="1"/>
    <x v="3"/>
  </r>
  <r>
    <n v="19"/>
    <x v="0"/>
    <s v="Travel_Rarely"/>
    <n v="419"/>
    <x v="0"/>
    <x v="11"/>
    <n v="3"/>
    <s v="Other"/>
    <n v="1"/>
    <n v="959"/>
    <n v="4"/>
    <s v="Male"/>
    <n v="37"/>
    <n v="2"/>
    <n v="1"/>
    <x v="6"/>
    <x v="1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  <x v="3"/>
    <x v="1"/>
    <x v="1"/>
  </r>
  <r>
    <n v="20"/>
    <x v="0"/>
    <s v="Travel_Rarely"/>
    <n v="129"/>
    <x v="1"/>
    <x v="18"/>
    <n v="3"/>
    <s v="Technical Degree"/>
    <n v="1"/>
    <n v="960"/>
    <n v="1"/>
    <s v="Male"/>
    <n v="84"/>
    <n v="3"/>
    <n v="1"/>
    <x v="2"/>
    <x v="3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  <x v="3"/>
    <x v="1"/>
    <x v="1"/>
  </r>
  <r>
    <n v="31"/>
    <x v="1"/>
    <s v="Travel_Rarely"/>
    <n v="616"/>
    <x v="1"/>
    <x v="20"/>
    <n v="3"/>
    <s v="Medical"/>
    <n v="1"/>
    <n v="961"/>
    <n v="4"/>
    <s v="Female"/>
    <n v="41"/>
    <n v="3"/>
    <n v="2"/>
    <x v="4"/>
    <x v="0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  <x v="2"/>
    <x v="0"/>
    <x v="0"/>
  </r>
  <r>
    <n v="40"/>
    <x v="1"/>
    <s v="Travel_Frequently"/>
    <n v="1469"/>
    <x v="1"/>
    <x v="14"/>
    <n v="4"/>
    <s v="Medical"/>
    <n v="1"/>
    <n v="964"/>
    <n v="4"/>
    <s v="Male"/>
    <n v="35"/>
    <n v="3"/>
    <n v="1"/>
    <x v="1"/>
    <x v="1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  <x v="0"/>
    <x v="0"/>
    <x v="1"/>
  </r>
  <r>
    <n v="32"/>
    <x v="1"/>
    <s v="Travel_Rarely"/>
    <n v="498"/>
    <x v="1"/>
    <x v="3"/>
    <n v="4"/>
    <s v="Medical"/>
    <n v="1"/>
    <n v="966"/>
    <n v="3"/>
    <s v="Female"/>
    <n v="93"/>
    <n v="3"/>
    <n v="2"/>
    <x v="3"/>
    <x v="3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  <x v="2"/>
    <x v="0"/>
    <x v="0"/>
  </r>
  <r>
    <n v="36"/>
    <x v="0"/>
    <s v="Travel_Rarely"/>
    <n v="530"/>
    <x v="0"/>
    <x v="3"/>
    <n v="1"/>
    <s v="Life Sciences"/>
    <n v="1"/>
    <n v="967"/>
    <n v="3"/>
    <s v="Male"/>
    <n v="51"/>
    <n v="2"/>
    <n v="3"/>
    <x v="0"/>
    <x v="0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  <x v="0"/>
    <x v="2"/>
    <x v="3"/>
  </r>
  <r>
    <n v="33"/>
    <x v="1"/>
    <s v="Travel_Rarely"/>
    <n v="1069"/>
    <x v="1"/>
    <x v="0"/>
    <n v="3"/>
    <s v="Life Sciences"/>
    <n v="1"/>
    <n v="969"/>
    <n v="2"/>
    <s v="Female"/>
    <n v="42"/>
    <n v="2"/>
    <n v="2"/>
    <x v="4"/>
    <x v="0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  <x v="2"/>
    <x v="0"/>
    <x v="2"/>
  </r>
  <r>
    <n v="37"/>
    <x v="0"/>
    <s v="Travel_Rarely"/>
    <n v="625"/>
    <x v="0"/>
    <x v="0"/>
    <n v="4"/>
    <s v="Life Sciences"/>
    <n v="1"/>
    <n v="970"/>
    <n v="1"/>
    <s v="Male"/>
    <n v="46"/>
    <n v="2"/>
    <n v="3"/>
    <x v="0"/>
    <x v="2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  <x v="0"/>
    <x v="2"/>
    <x v="3"/>
  </r>
  <r>
    <n v="45"/>
    <x v="1"/>
    <s v="Non-Travel"/>
    <n v="805"/>
    <x v="1"/>
    <x v="18"/>
    <n v="2"/>
    <s v="Life Sciences"/>
    <n v="1"/>
    <n v="972"/>
    <n v="3"/>
    <s v="Male"/>
    <n v="57"/>
    <n v="3"/>
    <n v="2"/>
    <x v="2"/>
    <x v="1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  <x v="0"/>
    <x v="0"/>
    <x v="0"/>
  </r>
  <r>
    <n v="29"/>
    <x v="1"/>
    <s v="Travel_Frequently"/>
    <n v="1404"/>
    <x v="0"/>
    <x v="25"/>
    <n v="3"/>
    <s v="Technical Degree"/>
    <n v="1"/>
    <n v="974"/>
    <n v="3"/>
    <s v="Female"/>
    <n v="84"/>
    <n v="3"/>
    <n v="1"/>
    <x v="6"/>
    <x v="0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  <x v="2"/>
    <x v="1"/>
    <x v="2"/>
  </r>
  <r>
    <n v="35"/>
    <x v="1"/>
    <s v="Travel_Rarely"/>
    <n v="1219"/>
    <x v="0"/>
    <x v="21"/>
    <n v="3"/>
    <s v="Medical"/>
    <n v="1"/>
    <n v="975"/>
    <n v="3"/>
    <s v="Female"/>
    <n v="86"/>
    <n v="3"/>
    <n v="2"/>
    <x v="0"/>
    <x v="2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  <x v="2"/>
    <x v="0"/>
    <x v="2"/>
  </r>
  <r>
    <n v="52"/>
    <x v="1"/>
    <s v="Travel_Rarely"/>
    <n v="1053"/>
    <x v="1"/>
    <x v="0"/>
    <n v="2"/>
    <s v="Life Sciences"/>
    <n v="1"/>
    <n v="976"/>
    <n v="4"/>
    <s v="Male"/>
    <n v="70"/>
    <n v="3"/>
    <n v="4"/>
    <x v="5"/>
    <x v="0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  <x v="1"/>
    <x v="2"/>
    <x v="0"/>
  </r>
  <r>
    <n v="58"/>
    <x v="0"/>
    <s v="Travel_Rarely"/>
    <n v="289"/>
    <x v="1"/>
    <x v="2"/>
    <n v="3"/>
    <s v="Technical Degree"/>
    <n v="1"/>
    <n v="977"/>
    <n v="4"/>
    <s v="Male"/>
    <n v="51"/>
    <n v="3"/>
    <n v="1"/>
    <x v="1"/>
    <x v="2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  <x v="1"/>
    <x v="1"/>
    <x v="1"/>
  </r>
  <r>
    <n v="53"/>
    <x v="1"/>
    <s v="Travel_Rarely"/>
    <n v="1376"/>
    <x v="0"/>
    <x v="2"/>
    <n v="2"/>
    <s v="Medical"/>
    <n v="1"/>
    <n v="981"/>
    <n v="3"/>
    <s v="Male"/>
    <n v="45"/>
    <n v="3"/>
    <n v="4"/>
    <x v="5"/>
    <x v="2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  <x v="1"/>
    <x v="2"/>
    <x v="3"/>
  </r>
  <r>
    <n v="30"/>
    <x v="1"/>
    <s v="Travel_Rarely"/>
    <n v="231"/>
    <x v="0"/>
    <x v="1"/>
    <n v="2"/>
    <s v="Other"/>
    <n v="1"/>
    <n v="982"/>
    <n v="3"/>
    <s v="Male"/>
    <n v="62"/>
    <n v="3"/>
    <n v="3"/>
    <x v="0"/>
    <x v="2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  <x v="2"/>
    <x v="2"/>
    <x v="0"/>
  </r>
  <r>
    <n v="38"/>
    <x v="1"/>
    <s v="Non-Travel"/>
    <n v="152"/>
    <x v="0"/>
    <x v="17"/>
    <n v="3"/>
    <s v="Technical Degree"/>
    <n v="1"/>
    <n v="983"/>
    <n v="3"/>
    <s v="Female"/>
    <n v="85"/>
    <n v="3"/>
    <n v="2"/>
    <x v="0"/>
    <x v="0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  <x v="0"/>
    <x v="0"/>
    <x v="2"/>
  </r>
  <r>
    <n v="35"/>
    <x v="1"/>
    <s v="Travel_Rarely"/>
    <n v="882"/>
    <x v="0"/>
    <x v="3"/>
    <n v="4"/>
    <s v="Life Sciences"/>
    <n v="1"/>
    <n v="984"/>
    <n v="4"/>
    <s v="Male"/>
    <n v="92"/>
    <n v="3"/>
    <n v="3"/>
    <x v="0"/>
    <x v="0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  <x v="2"/>
    <x v="2"/>
    <x v="0"/>
  </r>
  <r>
    <n v="39"/>
    <x v="1"/>
    <s v="Travel_Rarely"/>
    <n v="903"/>
    <x v="0"/>
    <x v="2"/>
    <n v="5"/>
    <s v="Life Sciences"/>
    <n v="1"/>
    <n v="985"/>
    <n v="1"/>
    <s v="Male"/>
    <n v="41"/>
    <n v="4"/>
    <n v="3"/>
    <x v="0"/>
    <x v="2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  <x v="0"/>
    <x v="2"/>
    <x v="0"/>
  </r>
  <r>
    <n v="40"/>
    <x v="0"/>
    <s v="Non-Travel"/>
    <n v="1479"/>
    <x v="0"/>
    <x v="4"/>
    <n v="3"/>
    <s v="Life Sciences"/>
    <n v="1"/>
    <n v="986"/>
    <n v="2"/>
    <s v="Female"/>
    <n v="100"/>
    <n v="4"/>
    <n v="4"/>
    <x v="0"/>
    <x v="1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  <x v="0"/>
    <x v="2"/>
    <x v="1"/>
  </r>
  <r>
    <n v="47"/>
    <x v="1"/>
    <s v="Travel_Frequently"/>
    <n v="1379"/>
    <x v="1"/>
    <x v="7"/>
    <n v="4"/>
    <s v="Medical"/>
    <n v="1"/>
    <n v="987"/>
    <n v="3"/>
    <s v="Male"/>
    <n v="64"/>
    <n v="4"/>
    <n v="2"/>
    <x v="3"/>
    <x v="2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  <x v="1"/>
    <x v="0"/>
    <x v="3"/>
  </r>
  <r>
    <n v="36"/>
    <x v="1"/>
    <s v="Non-Travel"/>
    <n v="1229"/>
    <x v="0"/>
    <x v="1"/>
    <n v="4"/>
    <s v="Technical Degree"/>
    <n v="1"/>
    <n v="990"/>
    <n v="1"/>
    <s v="Male"/>
    <n v="84"/>
    <n v="3"/>
    <n v="2"/>
    <x v="0"/>
    <x v="0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  <x v="0"/>
    <x v="0"/>
    <x v="0"/>
  </r>
  <r>
    <n v="31"/>
    <x v="0"/>
    <s v="Non-Travel"/>
    <n v="335"/>
    <x v="1"/>
    <x v="14"/>
    <n v="2"/>
    <s v="Medical"/>
    <n v="1"/>
    <n v="991"/>
    <n v="3"/>
    <s v="Male"/>
    <n v="46"/>
    <n v="2"/>
    <n v="1"/>
    <x v="1"/>
    <x v="3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  <x v="2"/>
    <x v="1"/>
    <x v="2"/>
  </r>
  <r>
    <n v="33"/>
    <x v="1"/>
    <s v="Non-Travel"/>
    <n v="722"/>
    <x v="0"/>
    <x v="27"/>
    <n v="3"/>
    <s v="Life Sciences"/>
    <n v="1"/>
    <n v="992"/>
    <n v="4"/>
    <s v="Male"/>
    <n v="38"/>
    <n v="3"/>
    <n v="4"/>
    <x v="5"/>
    <x v="2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  <x v="2"/>
    <x v="2"/>
    <x v="0"/>
  </r>
  <r>
    <n v="29"/>
    <x v="0"/>
    <s v="Travel_Rarely"/>
    <n v="906"/>
    <x v="1"/>
    <x v="17"/>
    <n v="3"/>
    <s v="Life Sciences"/>
    <n v="1"/>
    <n v="994"/>
    <n v="4"/>
    <s v="Female"/>
    <n v="92"/>
    <n v="2"/>
    <n v="1"/>
    <x v="1"/>
    <x v="3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  <x v="2"/>
    <x v="1"/>
    <x v="1"/>
  </r>
  <r>
    <n v="33"/>
    <x v="1"/>
    <s v="Travel_Rarely"/>
    <n v="461"/>
    <x v="1"/>
    <x v="28"/>
    <n v="1"/>
    <s v="Life Sciences"/>
    <n v="1"/>
    <n v="995"/>
    <n v="2"/>
    <s v="Female"/>
    <n v="53"/>
    <n v="3"/>
    <n v="1"/>
    <x v="1"/>
    <x v="0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  <x v="2"/>
    <x v="0"/>
    <x v="2"/>
  </r>
  <r>
    <n v="45"/>
    <x v="1"/>
    <s v="Travel_Rarely"/>
    <n v="974"/>
    <x v="1"/>
    <x v="0"/>
    <n v="4"/>
    <s v="Medical"/>
    <n v="1"/>
    <n v="996"/>
    <n v="4"/>
    <s v="Female"/>
    <n v="91"/>
    <n v="3"/>
    <n v="1"/>
    <x v="2"/>
    <x v="0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  <x v="0"/>
    <x v="1"/>
    <x v="2"/>
  </r>
  <r>
    <n v="50"/>
    <x v="1"/>
    <s v="Travel_Rarely"/>
    <n v="1126"/>
    <x v="1"/>
    <x v="0"/>
    <n v="2"/>
    <s v="Medical"/>
    <n v="1"/>
    <n v="997"/>
    <n v="4"/>
    <s v="Male"/>
    <n v="66"/>
    <n v="3"/>
    <n v="4"/>
    <x v="7"/>
    <x v="0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  <x v="1"/>
    <x v="2"/>
    <x v="2"/>
  </r>
  <r>
    <n v="33"/>
    <x v="1"/>
    <s v="Travel_Frequently"/>
    <n v="827"/>
    <x v="1"/>
    <x v="0"/>
    <n v="4"/>
    <s v="Other"/>
    <n v="1"/>
    <n v="998"/>
    <n v="3"/>
    <s v="Female"/>
    <n v="84"/>
    <n v="4"/>
    <n v="2"/>
    <x v="4"/>
    <x v="1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  <x v="2"/>
    <x v="0"/>
    <x v="0"/>
  </r>
  <r>
    <n v="41"/>
    <x v="1"/>
    <s v="Travel_Frequently"/>
    <n v="840"/>
    <x v="1"/>
    <x v="14"/>
    <n v="3"/>
    <s v="Medical"/>
    <n v="1"/>
    <n v="999"/>
    <n v="1"/>
    <s v="Male"/>
    <n v="64"/>
    <n v="3"/>
    <n v="5"/>
    <x v="7"/>
    <x v="2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  <x v="0"/>
    <x v="2"/>
    <x v="3"/>
  </r>
  <r>
    <n v="27"/>
    <x v="1"/>
    <s v="Travel_Rarely"/>
    <n v="1134"/>
    <x v="1"/>
    <x v="7"/>
    <n v="4"/>
    <s v="Technical Degree"/>
    <n v="1"/>
    <n v="1001"/>
    <n v="3"/>
    <s v="Female"/>
    <n v="37"/>
    <n v="3"/>
    <n v="1"/>
    <x v="2"/>
    <x v="1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  <x v="2"/>
    <x v="1"/>
    <x v="1"/>
  </r>
  <r>
    <n v="45"/>
    <x v="1"/>
    <s v="Non-Travel"/>
    <n v="248"/>
    <x v="1"/>
    <x v="5"/>
    <n v="2"/>
    <s v="Life Sciences"/>
    <n v="1"/>
    <n v="1002"/>
    <n v="4"/>
    <s v="Male"/>
    <n v="42"/>
    <n v="3"/>
    <n v="2"/>
    <x v="2"/>
    <x v="3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  <x v="0"/>
    <x v="0"/>
    <x v="0"/>
  </r>
  <r>
    <n v="47"/>
    <x v="1"/>
    <s v="Travel_Rarely"/>
    <n v="955"/>
    <x v="0"/>
    <x v="18"/>
    <n v="2"/>
    <s v="Life Sciences"/>
    <n v="1"/>
    <n v="1003"/>
    <n v="4"/>
    <s v="Female"/>
    <n v="83"/>
    <n v="3"/>
    <n v="2"/>
    <x v="0"/>
    <x v="0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  <x v="1"/>
    <x v="0"/>
    <x v="0"/>
  </r>
  <r>
    <n v="30"/>
    <x v="0"/>
    <s v="Travel_Rarely"/>
    <n v="138"/>
    <x v="1"/>
    <x v="23"/>
    <n v="3"/>
    <s v="Life Sciences"/>
    <n v="1"/>
    <n v="1004"/>
    <n v="1"/>
    <s v="Female"/>
    <n v="48"/>
    <n v="3"/>
    <n v="1"/>
    <x v="1"/>
    <x v="2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  <x v="2"/>
    <x v="1"/>
    <x v="2"/>
  </r>
  <r>
    <n v="50"/>
    <x v="1"/>
    <s v="Travel_Rarely"/>
    <n v="939"/>
    <x v="1"/>
    <x v="4"/>
    <n v="3"/>
    <s v="Life Sciences"/>
    <n v="1"/>
    <n v="1005"/>
    <n v="4"/>
    <s v="Male"/>
    <n v="95"/>
    <n v="3"/>
    <n v="4"/>
    <x v="3"/>
    <x v="2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  <x v="1"/>
    <x v="2"/>
    <x v="3"/>
  </r>
  <r>
    <n v="38"/>
    <x v="1"/>
    <s v="Travel_Frequently"/>
    <n v="1391"/>
    <x v="1"/>
    <x v="17"/>
    <n v="1"/>
    <s v="Medical"/>
    <n v="1"/>
    <n v="1006"/>
    <n v="3"/>
    <s v="Male"/>
    <n v="66"/>
    <n v="3"/>
    <n v="1"/>
    <x v="1"/>
    <x v="2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  <x v="0"/>
    <x v="1"/>
    <x v="1"/>
  </r>
  <r>
    <n v="46"/>
    <x v="1"/>
    <s v="Travel_Rarely"/>
    <n v="566"/>
    <x v="1"/>
    <x v="15"/>
    <n v="2"/>
    <s v="Medical"/>
    <n v="1"/>
    <n v="1007"/>
    <n v="4"/>
    <s v="Male"/>
    <n v="75"/>
    <n v="3"/>
    <n v="3"/>
    <x v="3"/>
    <x v="2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  <x v="1"/>
    <x v="2"/>
    <x v="0"/>
  </r>
  <r>
    <n v="24"/>
    <x v="1"/>
    <s v="Travel_Rarely"/>
    <n v="1206"/>
    <x v="1"/>
    <x v="27"/>
    <n v="1"/>
    <s v="Medical"/>
    <n v="1"/>
    <n v="1009"/>
    <n v="4"/>
    <s v="Female"/>
    <n v="41"/>
    <n v="2"/>
    <n v="2"/>
    <x v="3"/>
    <x v="2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  <x v="3"/>
    <x v="0"/>
    <x v="2"/>
  </r>
  <r>
    <n v="35"/>
    <x v="0"/>
    <s v="Travel_Rarely"/>
    <n v="622"/>
    <x v="1"/>
    <x v="24"/>
    <n v="4"/>
    <s v="Other"/>
    <n v="1"/>
    <n v="1010"/>
    <n v="3"/>
    <s v="Male"/>
    <n v="39"/>
    <n v="2"/>
    <n v="1"/>
    <x v="2"/>
    <x v="1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  <x v="2"/>
    <x v="0"/>
    <x v="2"/>
  </r>
  <r>
    <n v="31"/>
    <x v="1"/>
    <s v="Travel_Frequently"/>
    <n v="853"/>
    <x v="1"/>
    <x v="0"/>
    <n v="1"/>
    <s v="Life Sciences"/>
    <n v="1"/>
    <n v="1011"/>
    <n v="3"/>
    <s v="Female"/>
    <n v="96"/>
    <n v="3"/>
    <n v="2"/>
    <x v="3"/>
    <x v="3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  <x v="2"/>
    <x v="0"/>
    <x v="2"/>
  </r>
  <r>
    <n v="18"/>
    <x v="1"/>
    <s v="Non-Travel"/>
    <n v="287"/>
    <x v="1"/>
    <x v="12"/>
    <n v="2"/>
    <s v="Life Sciences"/>
    <n v="1"/>
    <n v="1012"/>
    <n v="2"/>
    <s v="Male"/>
    <n v="73"/>
    <n v="3"/>
    <n v="1"/>
    <x v="1"/>
    <x v="0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  <x v="3"/>
    <x v="1"/>
    <x v="1"/>
  </r>
  <r>
    <n v="54"/>
    <x v="1"/>
    <s v="Travel_Rarely"/>
    <n v="1441"/>
    <x v="1"/>
    <x v="27"/>
    <n v="3"/>
    <s v="Technical Degree"/>
    <n v="1"/>
    <n v="1013"/>
    <n v="3"/>
    <s v="Female"/>
    <n v="56"/>
    <n v="3"/>
    <n v="3"/>
    <x v="3"/>
    <x v="2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  <x v="1"/>
    <x v="2"/>
    <x v="0"/>
  </r>
  <r>
    <n v="35"/>
    <x v="1"/>
    <s v="Travel_Rarely"/>
    <n v="583"/>
    <x v="1"/>
    <x v="19"/>
    <n v="4"/>
    <s v="Medical"/>
    <n v="1"/>
    <n v="1014"/>
    <n v="3"/>
    <s v="Female"/>
    <n v="57"/>
    <n v="3"/>
    <n v="3"/>
    <x v="4"/>
    <x v="2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  <x v="2"/>
    <x v="2"/>
    <x v="3"/>
  </r>
  <r>
    <n v="30"/>
    <x v="1"/>
    <s v="Travel_Rarely"/>
    <n v="153"/>
    <x v="1"/>
    <x v="1"/>
    <n v="2"/>
    <s v="Life Sciences"/>
    <n v="1"/>
    <n v="1015"/>
    <n v="2"/>
    <s v="Female"/>
    <n v="73"/>
    <n v="4"/>
    <n v="3"/>
    <x v="7"/>
    <x v="3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  <x v="2"/>
    <x v="2"/>
    <x v="0"/>
  </r>
  <r>
    <n v="20"/>
    <x v="0"/>
    <s v="Travel_Rarely"/>
    <n v="1097"/>
    <x v="1"/>
    <x v="13"/>
    <n v="3"/>
    <s v="Medical"/>
    <n v="1"/>
    <n v="1016"/>
    <n v="4"/>
    <s v="Female"/>
    <n v="98"/>
    <n v="2"/>
    <n v="1"/>
    <x v="1"/>
    <x v="3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  <x v="3"/>
    <x v="1"/>
    <x v="1"/>
  </r>
  <r>
    <n v="30"/>
    <x v="0"/>
    <s v="Travel_Frequently"/>
    <n v="109"/>
    <x v="1"/>
    <x v="12"/>
    <n v="3"/>
    <s v="Medical"/>
    <n v="1"/>
    <n v="1017"/>
    <n v="2"/>
    <s v="Female"/>
    <n v="60"/>
    <n v="3"/>
    <n v="1"/>
    <x v="2"/>
    <x v="1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  <x v="2"/>
    <x v="1"/>
    <x v="2"/>
  </r>
  <r>
    <n v="26"/>
    <x v="1"/>
    <s v="Travel_Rarely"/>
    <n v="1066"/>
    <x v="1"/>
    <x v="2"/>
    <n v="2"/>
    <s v="Medical"/>
    <n v="1"/>
    <n v="1018"/>
    <n v="4"/>
    <s v="Male"/>
    <n v="32"/>
    <n v="4"/>
    <n v="2"/>
    <x v="3"/>
    <x v="0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  <x v="2"/>
    <x v="0"/>
    <x v="0"/>
  </r>
  <r>
    <n v="22"/>
    <x v="1"/>
    <s v="Travel_Rarely"/>
    <n v="217"/>
    <x v="1"/>
    <x v="1"/>
    <n v="1"/>
    <s v="Life Sciences"/>
    <n v="1"/>
    <n v="1019"/>
    <n v="2"/>
    <s v="Male"/>
    <n v="94"/>
    <n v="1"/>
    <n v="1"/>
    <x v="2"/>
    <x v="3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  <x v="3"/>
    <x v="1"/>
    <x v="2"/>
  </r>
  <r>
    <n v="48"/>
    <x v="1"/>
    <s v="Travel_Rarely"/>
    <n v="277"/>
    <x v="1"/>
    <x v="16"/>
    <n v="3"/>
    <s v="Life Sciences"/>
    <n v="1"/>
    <n v="1022"/>
    <n v="1"/>
    <s v="Male"/>
    <n v="97"/>
    <n v="2"/>
    <n v="2"/>
    <x v="4"/>
    <x v="2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  <x v="1"/>
    <x v="0"/>
    <x v="1"/>
  </r>
  <r>
    <n v="48"/>
    <x v="1"/>
    <s v="Travel_Rarely"/>
    <n v="1355"/>
    <x v="1"/>
    <x v="18"/>
    <n v="4"/>
    <s v="Life Sciences"/>
    <n v="1"/>
    <n v="1024"/>
    <n v="3"/>
    <s v="Male"/>
    <n v="78"/>
    <n v="2"/>
    <n v="3"/>
    <x v="4"/>
    <x v="2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  <x v="1"/>
    <x v="2"/>
    <x v="3"/>
  </r>
  <r>
    <n v="41"/>
    <x v="1"/>
    <s v="Travel_Rarely"/>
    <n v="549"/>
    <x v="1"/>
    <x v="15"/>
    <n v="2"/>
    <s v="Medical"/>
    <n v="1"/>
    <n v="1025"/>
    <n v="4"/>
    <s v="Female"/>
    <n v="42"/>
    <n v="3"/>
    <n v="2"/>
    <x v="3"/>
    <x v="2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  <x v="0"/>
    <x v="0"/>
    <x v="1"/>
  </r>
  <r>
    <n v="39"/>
    <x v="1"/>
    <s v="Travel_Rarely"/>
    <n v="466"/>
    <x v="1"/>
    <x v="0"/>
    <n v="1"/>
    <s v="Life Sciences"/>
    <n v="1"/>
    <n v="1026"/>
    <n v="4"/>
    <s v="Female"/>
    <n v="65"/>
    <n v="2"/>
    <n v="4"/>
    <x v="3"/>
    <x v="0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  <x v="0"/>
    <x v="2"/>
    <x v="3"/>
  </r>
  <r>
    <n v="27"/>
    <x v="1"/>
    <s v="Travel_Rarely"/>
    <n v="1055"/>
    <x v="1"/>
    <x v="2"/>
    <n v="4"/>
    <s v="Life Sciences"/>
    <n v="1"/>
    <n v="1027"/>
    <n v="1"/>
    <s v="Female"/>
    <n v="47"/>
    <n v="3"/>
    <n v="2"/>
    <x v="3"/>
    <x v="0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  <x v="2"/>
    <x v="0"/>
    <x v="2"/>
  </r>
  <r>
    <n v="35"/>
    <x v="1"/>
    <s v="Travel_Rarely"/>
    <n v="802"/>
    <x v="1"/>
    <x v="17"/>
    <n v="3"/>
    <s v="Other"/>
    <n v="1"/>
    <n v="1028"/>
    <n v="2"/>
    <s v="Male"/>
    <n v="45"/>
    <n v="3"/>
    <n v="1"/>
    <x v="2"/>
    <x v="0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  <x v="2"/>
    <x v="0"/>
    <x v="2"/>
  </r>
  <r>
    <n v="42"/>
    <x v="1"/>
    <s v="Travel_Rarely"/>
    <n v="265"/>
    <x v="0"/>
    <x v="12"/>
    <n v="2"/>
    <s v="Marketing"/>
    <n v="1"/>
    <n v="1029"/>
    <n v="4"/>
    <s v="Male"/>
    <n v="90"/>
    <n v="3"/>
    <n v="5"/>
    <x v="5"/>
    <x v="2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  <x v="0"/>
    <x v="2"/>
    <x v="1"/>
  </r>
  <r>
    <n v="50"/>
    <x v="1"/>
    <s v="Travel_Rarely"/>
    <n v="804"/>
    <x v="1"/>
    <x v="14"/>
    <n v="3"/>
    <s v="Life Sciences"/>
    <n v="1"/>
    <n v="1030"/>
    <n v="1"/>
    <s v="Male"/>
    <n v="64"/>
    <n v="3"/>
    <n v="1"/>
    <x v="2"/>
    <x v="0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  <x v="1"/>
    <x v="1"/>
    <x v="1"/>
  </r>
  <r>
    <n v="59"/>
    <x v="1"/>
    <s v="Travel_Rarely"/>
    <n v="715"/>
    <x v="1"/>
    <x v="2"/>
    <n v="3"/>
    <s v="Life Sciences"/>
    <n v="1"/>
    <n v="1032"/>
    <n v="3"/>
    <s v="Female"/>
    <n v="69"/>
    <n v="2"/>
    <n v="4"/>
    <x v="3"/>
    <x v="0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  <x v="1"/>
    <x v="2"/>
    <x v="2"/>
  </r>
  <r>
    <n v="37"/>
    <x v="0"/>
    <s v="Travel_Rarely"/>
    <n v="1141"/>
    <x v="1"/>
    <x v="13"/>
    <n v="2"/>
    <s v="Medical"/>
    <n v="1"/>
    <n v="1033"/>
    <n v="1"/>
    <s v="Female"/>
    <n v="61"/>
    <n v="1"/>
    <n v="2"/>
    <x v="4"/>
    <x v="1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  <x v="0"/>
    <x v="0"/>
    <x v="1"/>
  </r>
  <r>
    <n v="55"/>
    <x v="1"/>
    <s v="Travel_Frequently"/>
    <n v="135"/>
    <x v="1"/>
    <x v="21"/>
    <n v="4"/>
    <s v="Medical"/>
    <n v="1"/>
    <n v="1034"/>
    <n v="3"/>
    <s v="Male"/>
    <n v="62"/>
    <n v="3"/>
    <n v="2"/>
    <x v="4"/>
    <x v="1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  <x v="1"/>
    <x v="0"/>
    <x v="0"/>
  </r>
  <r>
    <n v="41"/>
    <x v="1"/>
    <s v="Non-Travel"/>
    <n v="247"/>
    <x v="1"/>
    <x v="15"/>
    <n v="1"/>
    <s v="Life Sciences"/>
    <n v="1"/>
    <n v="1035"/>
    <n v="2"/>
    <s v="Female"/>
    <n v="55"/>
    <n v="1"/>
    <n v="5"/>
    <x v="7"/>
    <x v="2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  <x v="0"/>
    <x v="2"/>
    <x v="3"/>
  </r>
  <r>
    <n v="38"/>
    <x v="1"/>
    <s v="Travel_Rarely"/>
    <n v="1035"/>
    <x v="0"/>
    <x v="3"/>
    <n v="4"/>
    <s v="Life Sciences"/>
    <n v="1"/>
    <n v="1036"/>
    <n v="2"/>
    <s v="Male"/>
    <n v="42"/>
    <n v="3"/>
    <n v="2"/>
    <x v="0"/>
    <x v="0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  <x v="0"/>
    <x v="0"/>
    <x v="1"/>
  </r>
  <r>
    <n v="26"/>
    <x v="0"/>
    <s v="Non-Travel"/>
    <n v="265"/>
    <x v="0"/>
    <x v="22"/>
    <n v="2"/>
    <s v="Medical"/>
    <n v="1"/>
    <n v="1037"/>
    <n v="2"/>
    <s v="Male"/>
    <n v="79"/>
    <n v="1"/>
    <n v="2"/>
    <x v="0"/>
    <x v="3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  <x v="2"/>
    <x v="0"/>
    <x v="1"/>
  </r>
  <r>
    <n v="52"/>
    <x v="0"/>
    <s v="Travel_Rarely"/>
    <n v="266"/>
    <x v="0"/>
    <x v="2"/>
    <n v="1"/>
    <s v="Marketing"/>
    <n v="1"/>
    <n v="1038"/>
    <n v="1"/>
    <s v="Female"/>
    <n v="57"/>
    <n v="1"/>
    <n v="5"/>
    <x v="5"/>
    <x v="0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  <x v="1"/>
    <x v="2"/>
    <x v="3"/>
  </r>
  <r>
    <n v="44"/>
    <x v="1"/>
    <s v="Travel_Rarely"/>
    <n v="1448"/>
    <x v="0"/>
    <x v="26"/>
    <n v="3"/>
    <s v="Medical"/>
    <n v="1"/>
    <n v="1039"/>
    <n v="4"/>
    <s v="Female"/>
    <n v="53"/>
    <n v="4"/>
    <n v="4"/>
    <x v="0"/>
    <x v="0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  <x v="0"/>
    <x v="2"/>
    <x v="3"/>
  </r>
  <r>
    <n v="50"/>
    <x v="1"/>
    <s v="Non-Travel"/>
    <n v="145"/>
    <x v="0"/>
    <x v="0"/>
    <n v="3"/>
    <s v="Life Sciences"/>
    <n v="1"/>
    <n v="1040"/>
    <n v="4"/>
    <s v="Female"/>
    <n v="95"/>
    <n v="3"/>
    <n v="2"/>
    <x v="0"/>
    <x v="2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  <x v="1"/>
    <x v="0"/>
    <x v="3"/>
  </r>
  <r>
    <n v="36"/>
    <x v="0"/>
    <s v="Travel_Rarely"/>
    <n v="885"/>
    <x v="1"/>
    <x v="7"/>
    <n v="4"/>
    <s v="Life Sciences"/>
    <n v="1"/>
    <n v="1042"/>
    <n v="3"/>
    <s v="Female"/>
    <n v="43"/>
    <n v="4"/>
    <n v="1"/>
    <x v="2"/>
    <x v="3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  <x v="0"/>
    <x v="1"/>
    <x v="3"/>
  </r>
  <r>
    <n v="39"/>
    <x v="1"/>
    <s v="Travel_Frequently"/>
    <n v="945"/>
    <x v="1"/>
    <x v="23"/>
    <n v="3"/>
    <s v="Medical"/>
    <n v="1"/>
    <n v="1043"/>
    <n v="4"/>
    <s v="Female"/>
    <n v="82"/>
    <n v="3"/>
    <n v="3"/>
    <x v="3"/>
    <x v="3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  <x v="0"/>
    <x v="2"/>
    <x v="3"/>
  </r>
  <r>
    <n v="33"/>
    <x v="1"/>
    <s v="Non-Travel"/>
    <n v="1038"/>
    <x v="0"/>
    <x v="1"/>
    <n v="1"/>
    <s v="Life Sciences"/>
    <n v="1"/>
    <n v="1044"/>
    <n v="2"/>
    <s v="Female"/>
    <n v="88"/>
    <n v="2"/>
    <n v="1"/>
    <x v="6"/>
    <x v="0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  <x v="2"/>
    <x v="1"/>
    <x v="1"/>
  </r>
  <r>
    <n v="45"/>
    <x v="1"/>
    <s v="Travel_Rarely"/>
    <n v="1234"/>
    <x v="0"/>
    <x v="13"/>
    <n v="2"/>
    <s v="Life Sciences"/>
    <n v="1"/>
    <n v="1045"/>
    <n v="4"/>
    <s v="Female"/>
    <n v="90"/>
    <n v="3"/>
    <n v="4"/>
    <x v="5"/>
    <x v="0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  <x v="0"/>
    <x v="2"/>
    <x v="0"/>
  </r>
  <r>
    <n v="32"/>
    <x v="1"/>
    <s v="Non-Travel"/>
    <n v="1109"/>
    <x v="1"/>
    <x v="22"/>
    <n v="4"/>
    <s v="Medical"/>
    <n v="1"/>
    <n v="1046"/>
    <n v="4"/>
    <s v="Female"/>
    <n v="69"/>
    <n v="3"/>
    <n v="1"/>
    <x v="2"/>
    <x v="2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  <x v="2"/>
    <x v="0"/>
    <x v="0"/>
  </r>
  <r>
    <n v="34"/>
    <x v="1"/>
    <s v="Travel_Rarely"/>
    <n v="216"/>
    <x v="0"/>
    <x v="0"/>
    <n v="4"/>
    <s v="Marketing"/>
    <n v="1"/>
    <n v="1047"/>
    <n v="2"/>
    <s v="Male"/>
    <n v="75"/>
    <n v="4"/>
    <n v="2"/>
    <x v="0"/>
    <x v="0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  <x v="2"/>
    <x v="2"/>
    <x v="3"/>
  </r>
  <r>
    <n v="59"/>
    <x v="1"/>
    <s v="Travel_Rarely"/>
    <n v="1089"/>
    <x v="0"/>
    <x v="0"/>
    <n v="2"/>
    <s v="Technical Degree"/>
    <n v="1"/>
    <n v="1048"/>
    <n v="2"/>
    <s v="Male"/>
    <n v="66"/>
    <n v="3"/>
    <n v="3"/>
    <x v="5"/>
    <x v="0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  <x v="1"/>
    <x v="2"/>
    <x v="0"/>
  </r>
  <r>
    <n v="45"/>
    <x v="1"/>
    <s v="Travel_Rarely"/>
    <n v="788"/>
    <x v="2"/>
    <x v="4"/>
    <n v="4"/>
    <s v="Medical"/>
    <n v="1"/>
    <n v="1049"/>
    <n v="2"/>
    <s v="Male"/>
    <n v="36"/>
    <n v="3"/>
    <n v="1"/>
    <x v="8"/>
    <x v="1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  <x v="0"/>
    <x v="1"/>
    <x v="0"/>
  </r>
  <r>
    <n v="53"/>
    <x v="1"/>
    <s v="Travel_Frequently"/>
    <n v="124"/>
    <x v="0"/>
    <x v="2"/>
    <n v="3"/>
    <s v="Marketing"/>
    <n v="1"/>
    <n v="1050"/>
    <n v="3"/>
    <s v="Female"/>
    <n v="38"/>
    <n v="2"/>
    <n v="3"/>
    <x v="0"/>
    <x v="1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  <x v="1"/>
    <x v="2"/>
    <x v="3"/>
  </r>
  <r>
    <n v="36"/>
    <x v="0"/>
    <s v="Travel_Rarely"/>
    <n v="660"/>
    <x v="1"/>
    <x v="8"/>
    <n v="3"/>
    <s v="Other"/>
    <n v="1"/>
    <n v="1052"/>
    <n v="1"/>
    <s v="Male"/>
    <n v="81"/>
    <n v="3"/>
    <n v="2"/>
    <x v="2"/>
    <x v="2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  <x v="0"/>
    <x v="0"/>
    <x v="1"/>
  </r>
  <r>
    <n v="26"/>
    <x v="0"/>
    <s v="Travel_Frequently"/>
    <n v="342"/>
    <x v="1"/>
    <x v="2"/>
    <n v="3"/>
    <s v="Life Sciences"/>
    <n v="1"/>
    <n v="1053"/>
    <n v="1"/>
    <s v="Male"/>
    <n v="57"/>
    <n v="3"/>
    <n v="1"/>
    <x v="1"/>
    <x v="3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  <x v="2"/>
    <x v="1"/>
    <x v="2"/>
  </r>
  <r>
    <n v="34"/>
    <x v="1"/>
    <s v="Travel_Rarely"/>
    <n v="1333"/>
    <x v="0"/>
    <x v="17"/>
    <n v="4"/>
    <s v="Life Sciences"/>
    <n v="1"/>
    <n v="1055"/>
    <n v="3"/>
    <s v="Female"/>
    <n v="87"/>
    <n v="3"/>
    <n v="1"/>
    <x v="6"/>
    <x v="2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  <x v="2"/>
    <x v="1"/>
    <x v="1"/>
  </r>
  <r>
    <n v="28"/>
    <x v="1"/>
    <s v="Travel_Rarely"/>
    <n v="1144"/>
    <x v="0"/>
    <x v="17"/>
    <n v="1"/>
    <s v="Medical"/>
    <n v="1"/>
    <n v="1056"/>
    <n v="4"/>
    <s v="Male"/>
    <n v="74"/>
    <n v="3"/>
    <n v="1"/>
    <x v="6"/>
    <x v="1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  <x v="2"/>
    <x v="1"/>
    <x v="1"/>
  </r>
  <r>
    <n v="38"/>
    <x v="1"/>
    <s v="Travel_Frequently"/>
    <n v="1186"/>
    <x v="1"/>
    <x v="3"/>
    <n v="4"/>
    <s v="Other"/>
    <n v="1"/>
    <n v="1060"/>
    <n v="3"/>
    <s v="Male"/>
    <n v="44"/>
    <n v="3"/>
    <n v="1"/>
    <x v="1"/>
    <x v="2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  <x v="0"/>
    <x v="1"/>
    <x v="1"/>
  </r>
  <r>
    <n v="50"/>
    <x v="1"/>
    <s v="Travel_Rarely"/>
    <n v="1464"/>
    <x v="1"/>
    <x v="2"/>
    <n v="4"/>
    <s v="Medical"/>
    <n v="1"/>
    <n v="1061"/>
    <n v="2"/>
    <s v="Male"/>
    <n v="62"/>
    <n v="3"/>
    <n v="5"/>
    <x v="7"/>
    <x v="2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  <x v="1"/>
    <x v="2"/>
    <x v="0"/>
  </r>
  <r>
    <n v="37"/>
    <x v="1"/>
    <s v="Travel_Rarely"/>
    <n v="124"/>
    <x v="1"/>
    <x v="3"/>
    <n v="3"/>
    <s v="Other"/>
    <n v="1"/>
    <n v="1062"/>
    <n v="4"/>
    <s v="Female"/>
    <n v="35"/>
    <n v="3"/>
    <n v="2"/>
    <x v="4"/>
    <x v="1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  <x v="0"/>
    <x v="0"/>
    <x v="2"/>
  </r>
  <r>
    <n v="40"/>
    <x v="1"/>
    <s v="Travel_Rarely"/>
    <n v="300"/>
    <x v="0"/>
    <x v="9"/>
    <n v="3"/>
    <s v="Marketing"/>
    <n v="1"/>
    <n v="1066"/>
    <n v="3"/>
    <s v="Male"/>
    <n v="74"/>
    <n v="3"/>
    <n v="2"/>
    <x v="0"/>
    <x v="3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  <x v="0"/>
    <x v="2"/>
    <x v="0"/>
  </r>
  <r>
    <n v="26"/>
    <x v="1"/>
    <s v="Travel_Frequently"/>
    <n v="921"/>
    <x v="1"/>
    <x v="0"/>
    <n v="1"/>
    <s v="Medical"/>
    <n v="1"/>
    <n v="1068"/>
    <n v="1"/>
    <s v="Female"/>
    <n v="66"/>
    <n v="2"/>
    <n v="1"/>
    <x v="1"/>
    <x v="2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  <x v="2"/>
    <x v="1"/>
    <x v="2"/>
  </r>
  <r>
    <n v="46"/>
    <x v="1"/>
    <s v="Travel_Rarely"/>
    <n v="430"/>
    <x v="1"/>
    <x v="0"/>
    <n v="4"/>
    <s v="Medical"/>
    <n v="1"/>
    <n v="1069"/>
    <n v="4"/>
    <s v="Male"/>
    <n v="40"/>
    <n v="3"/>
    <n v="5"/>
    <x v="7"/>
    <x v="0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  <x v="1"/>
    <x v="2"/>
    <x v="1"/>
  </r>
  <r>
    <n v="54"/>
    <x v="1"/>
    <s v="Travel_Rarely"/>
    <n v="1082"/>
    <x v="0"/>
    <x v="2"/>
    <n v="4"/>
    <s v="Life Sciences"/>
    <n v="1"/>
    <n v="1070"/>
    <n v="3"/>
    <s v="Female"/>
    <n v="41"/>
    <n v="2"/>
    <n v="3"/>
    <x v="0"/>
    <x v="2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  <x v="1"/>
    <x v="2"/>
    <x v="0"/>
  </r>
  <r>
    <n v="56"/>
    <x v="1"/>
    <s v="Travel_Frequently"/>
    <n v="1240"/>
    <x v="1"/>
    <x v="14"/>
    <n v="3"/>
    <s v="Medical"/>
    <n v="1"/>
    <n v="1071"/>
    <n v="1"/>
    <s v="Female"/>
    <n v="63"/>
    <n v="3"/>
    <n v="1"/>
    <x v="1"/>
    <x v="2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  <x v="1"/>
    <x v="1"/>
    <x v="2"/>
  </r>
  <r>
    <n v="36"/>
    <x v="1"/>
    <s v="Travel_Rarely"/>
    <n v="796"/>
    <x v="1"/>
    <x v="20"/>
    <n v="5"/>
    <s v="Medical"/>
    <n v="1"/>
    <n v="1073"/>
    <n v="4"/>
    <s v="Female"/>
    <n v="51"/>
    <n v="2"/>
    <n v="3"/>
    <x v="3"/>
    <x v="0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  <x v="0"/>
    <x v="2"/>
    <x v="3"/>
  </r>
  <r>
    <n v="55"/>
    <x v="1"/>
    <s v="Non-Travel"/>
    <n v="444"/>
    <x v="1"/>
    <x v="2"/>
    <n v="1"/>
    <s v="Medical"/>
    <n v="1"/>
    <n v="1074"/>
    <n v="3"/>
    <s v="Male"/>
    <n v="40"/>
    <n v="2"/>
    <n v="4"/>
    <x v="5"/>
    <x v="3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  <x v="1"/>
    <x v="2"/>
    <x v="0"/>
  </r>
  <r>
    <n v="43"/>
    <x v="1"/>
    <s v="Travel_Rarely"/>
    <n v="415"/>
    <x v="0"/>
    <x v="19"/>
    <n v="3"/>
    <s v="Medical"/>
    <n v="1"/>
    <n v="1076"/>
    <n v="3"/>
    <s v="Male"/>
    <n v="79"/>
    <n v="2"/>
    <n v="3"/>
    <x v="0"/>
    <x v="0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  <x v="0"/>
    <x v="2"/>
    <x v="1"/>
  </r>
  <r>
    <n v="20"/>
    <x v="0"/>
    <s v="Travel_Frequently"/>
    <n v="769"/>
    <x v="0"/>
    <x v="14"/>
    <n v="3"/>
    <s v="Marketing"/>
    <n v="1"/>
    <n v="1077"/>
    <n v="4"/>
    <s v="Female"/>
    <n v="54"/>
    <n v="3"/>
    <n v="1"/>
    <x v="6"/>
    <x v="0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  <x v="3"/>
    <x v="1"/>
    <x v="1"/>
  </r>
  <r>
    <n v="21"/>
    <x v="0"/>
    <s v="Travel_Rarely"/>
    <n v="1334"/>
    <x v="1"/>
    <x v="17"/>
    <n v="3"/>
    <s v="Life Sciences"/>
    <n v="1"/>
    <n v="1079"/>
    <n v="3"/>
    <s v="Female"/>
    <n v="36"/>
    <n v="2"/>
    <n v="1"/>
    <x v="2"/>
    <x v="3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  <x v="3"/>
    <x v="1"/>
    <x v="1"/>
  </r>
  <r>
    <n v="46"/>
    <x v="1"/>
    <s v="Travel_Rarely"/>
    <n v="1003"/>
    <x v="1"/>
    <x v="1"/>
    <n v="4"/>
    <s v="Life Sciences"/>
    <n v="1"/>
    <n v="1080"/>
    <n v="4"/>
    <s v="Female"/>
    <n v="74"/>
    <n v="2"/>
    <n v="2"/>
    <x v="1"/>
    <x v="3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  <x v="1"/>
    <x v="0"/>
    <x v="3"/>
  </r>
  <r>
    <n v="51"/>
    <x v="0"/>
    <s v="Travel_Rarely"/>
    <n v="1323"/>
    <x v="1"/>
    <x v="18"/>
    <n v="4"/>
    <s v="Life Sciences"/>
    <n v="1"/>
    <n v="1081"/>
    <n v="1"/>
    <s v="Male"/>
    <n v="34"/>
    <n v="3"/>
    <n v="1"/>
    <x v="1"/>
    <x v="2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  <x v="1"/>
    <x v="1"/>
    <x v="0"/>
  </r>
  <r>
    <n v="28"/>
    <x v="0"/>
    <s v="Non-Travel"/>
    <n v="1366"/>
    <x v="1"/>
    <x v="4"/>
    <n v="2"/>
    <s v="Technical Degree"/>
    <n v="1"/>
    <n v="1082"/>
    <n v="2"/>
    <s v="Male"/>
    <n v="72"/>
    <n v="2"/>
    <n v="3"/>
    <x v="4"/>
    <x v="3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  <x v="2"/>
    <x v="2"/>
    <x v="0"/>
  </r>
  <r>
    <n v="26"/>
    <x v="1"/>
    <s v="Travel_Rarely"/>
    <n v="192"/>
    <x v="1"/>
    <x v="0"/>
    <n v="2"/>
    <s v="Medical"/>
    <n v="1"/>
    <n v="1083"/>
    <n v="1"/>
    <s v="Male"/>
    <n v="59"/>
    <n v="2"/>
    <n v="1"/>
    <x v="2"/>
    <x v="3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  <x v="2"/>
    <x v="0"/>
    <x v="2"/>
  </r>
  <r>
    <n v="30"/>
    <x v="1"/>
    <s v="Travel_Rarely"/>
    <n v="1176"/>
    <x v="1"/>
    <x v="25"/>
    <n v="3"/>
    <s v="Other"/>
    <n v="1"/>
    <n v="1084"/>
    <n v="3"/>
    <s v="Male"/>
    <n v="85"/>
    <n v="3"/>
    <n v="2"/>
    <x v="3"/>
    <x v="3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  <x v="2"/>
    <x v="2"/>
    <x v="0"/>
  </r>
  <r>
    <n v="41"/>
    <x v="1"/>
    <s v="Travel_Rarely"/>
    <n v="509"/>
    <x v="1"/>
    <x v="15"/>
    <n v="2"/>
    <s v="Technical Degree"/>
    <n v="1"/>
    <n v="1085"/>
    <n v="2"/>
    <s v="Female"/>
    <n v="43"/>
    <n v="4"/>
    <n v="1"/>
    <x v="1"/>
    <x v="2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  <x v="0"/>
    <x v="0"/>
    <x v="0"/>
  </r>
  <r>
    <n v="38"/>
    <x v="1"/>
    <s v="Travel_Rarely"/>
    <n v="330"/>
    <x v="1"/>
    <x v="27"/>
    <n v="1"/>
    <s v="Life Sciences"/>
    <n v="1"/>
    <n v="1088"/>
    <n v="3"/>
    <s v="Female"/>
    <n v="65"/>
    <n v="2"/>
    <n v="3"/>
    <x v="4"/>
    <x v="2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  <x v="0"/>
    <x v="2"/>
    <x v="3"/>
  </r>
  <r>
    <n v="40"/>
    <x v="1"/>
    <s v="Travel_Rarely"/>
    <n v="1492"/>
    <x v="1"/>
    <x v="25"/>
    <n v="4"/>
    <s v="Technical Degree"/>
    <n v="1"/>
    <n v="1092"/>
    <n v="1"/>
    <s v="Male"/>
    <n v="61"/>
    <n v="3"/>
    <n v="3"/>
    <x v="4"/>
    <x v="0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  <x v="0"/>
    <x v="2"/>
    <x v="3"/>
  </r>
  <r>
    <n v="27"/>
    <x v="1"/>
    <s v="Non-Travel"/>
    <n v="1277"/>
    <x v="1"/>
    <x v="1"/>
    <n v="5"/>
    <s v="Life Sciences"/>
    <n v="1"/>
    <n v="1094"/>
    <n v="1"/>
    <s v="Male"/>
    <n v="87"/>
    <n v="1"/>
    <n v="1"/>
    <x v="2"/>
    <x v="2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  <x v="2"/>
    <x v="0"/>
    <x v="2"/>
  </r>
  <r>
    <n v="55"/>
    <x v="1"/>
    <s v="Travel_Frequently"/>
    <n v="1091"/>
    <x v="1"/>
    <x v="2"/>
    <n v="1"/>
    <s v="Life Sciences"/>
    <n v="1"/>
    <n v="1096"/>
    <n v="4"/>
    <s v="Male"/>
    <n v="65"/>
    <n v="3"/>
    <n v="3"/>
    <x v="3"/>
    <x v="1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  <x v="1"/>
    <x v="2"/>
    <x v="2"/>
  </r>
  <r>
    <n v="28"/>
    <x v="1"/>
    <s v="Travel_Rarely"/>
    <n v="857"/>
    <x v="1"/>
    <x v="17"/>
    <n v="3"/>
    <s v="Other"/>
    <n v="1"/>
    <n v="1097"/>
    <n v="3"/>
    <s v="Female"/>
    <n v="59"/>
    <n v="3"/>
    <n v="2"/>
    <x v="1"/>
    <x v="2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  <x v="2"/>
    <x v="0"/>
    <x v="0"/>
  </r>
  <r>
    <n v="44"/>
    <x v="0"/>
    <s v="Travel_Rarely"/>
    <n v="1376"/>
    <x v="2"/>
    <x v="0"/>
    <n v="2"/>
    <s v="Medical"/>
    <n v="1"/>
    <n v="1098"/>
    <n v="2"/>
    <s v="Male"/>
    <n v="91"/>
    <n v="2"/>
    <n v="3"/>
    <x v="8"/>
    <x v="3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  <x v="0"/>
    <x v="2"/>
    <x v="3"/>
  </r>
  <r>
    <n v="33"/>
    <x v="1"/>
    <s v="Travel_Rarely"/>
    <n v="654"/>
    <x v="1"/>
    <x v="12"/>
    <n v="3"/>
    <s v="Life Sciences"/>
    <n v="1"/>
    <n v="1099"/>
    <n v="4"/>
    <s v="Male"/>
    <n v="34"/>
    <n v="2"/>
    <n v="3"/>
    <x v="4"/>
    <x v="0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  <x v="2"/>
    <x v="2"/>
    <x v="2"/>
  </r>
  <r>
    <n v="35"/>
    <x v="0"/>
    <s v="Travel_Rarely"/>
    <n v="1204"/>
    <x v="0"/>
    <x v="18"/>
    <n v="3"/>
    <s v="Technical Degree"/>
    <n v="1"/>
    <n v="1100"/>
    <n v="4"/>
    <s v="Male"/>
    <n v="86"/>
    <n v="3"/>
    <n v="3"/>
    <x v="0"/>
    <x v="3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  <x v="2"/>
    <x v="2"/>
    <x v="0"/>
  </r>
  <r>
    <n v="33"/>
    <x v="0"/>
    <s v="Travel_Frequently"/>
    <n v="827"/>
    <x v="1"/>
    <x v="22"/>
    <n v="4"/>
    <s v="Medical"/>
    <n v="1"/>
    <n v="1101"/>
    <n v="1"/>
    <s v="Female"/>
    <n v="54"/>
    <n v="2"/>
    <n v="2"/>
    <x v="1"/>
    <x v="2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  <x v="2"/>
    <x v="0"/>
    <x v="3"/>
  </r>
  <r>
    <n v="28"/>
    <x v="1"/>
    <s v="Travel_Rarely"/>
    <n v="895"/>
    <x v="1"/>
    <x v="8"/>
    <n v="2"/>
    <s v="Life Sciences"/>
    <n v="1"/>
    <n v="1102"/>
    <n v="1"/>
    <s v="Male"/>
    <n v="50"/>
    <n v="3"/>
    <n v="1"/>
    <x v="2"/>
    <x v="2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  <x v="2"/>
    <x v="1"/>
    <x v="2"/>
  </r>
  <r>
    <n v="34"/>
    <x v="1"/>
    <s v="Travel_Frequently"/>
    <n v="618"/>
    <x v="1"/>
    <x v="3"/>
    <n v="1"/>
    <s v="Life Sciences"/>
    <n v="1"/>
    <n v="1103"/>
    <n v="1"/>
    <s v="Male"/>
    <n v="45"/>
    <n v="3"/>
    <n v="2"/>
    <x v="4"/>
    <x v="0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  <x v="2"/>
    <x v="2"/>
    <x v="0"/>
  </r>
  <r>
    <n v="37"/>
    <x v="1"/>
    <s v="Travel_Rarely"/>
    <n v="309"/>
    <x v="0"/>
    <x v="17"/>
    <n v="4"/>
    <s v="Life Sciences"/>
    <n v="1"/>
    <n v="1105"/>
    <n v="4"/>
    <s v="Female"/>
    <n v="88"/>
    <n v="2"/>
    <n v="2"/>
    <x v="0"/>
    <x v="0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  <x v="0"/>
    <x v="0"/>
    <x v="1"/>
  </r>
  <r>
    <n v="25"/>
    <x v="0"/>
    <s v="Travel_Rarely"/>
    <n v="1219"/>
    <x v="1"/>
    <x v="18"/>
    <n v="1"/>
    <s v="Technical Degree"/>
    <n v="1"/>
    <n v="1106"/>
    <n v="4"/>
    <s v="Male"/>
    <n v="32"/>
    <n v="3"/>
    <n v="1"/>
    <x v="2"/>
    <x v="0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  <x v="3"/>
    <x v="0"/>
    <x v="0"/>
  </r>
  <r>
    <n v="26"/>
    <x v="0"/>
    <s v="Travel_Rarely"/>
    <n v="1330"/>
    <x v="1"/>
    <x v="11"/>
    <n v="3"/>
    <s v="Medical"/>
    <n v="1"/>
    <n v="1107"/>
    <n v="1"/>
    <s v="Male"/>
    <n v="37"/>
    <n v="3"/>
    <n v="1"/>
    <x v="2"/>
    <x v="2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  <x v="2"/>
    <x v="1"/>
    <x v="1"/>
  </r>
  <r>
    <n v="33"/>
    <x v="0"/>
    <s v="Travel_Rarely"/>
    <n v="1017"/>
    <x v="1"/>
    <x v="19"/>
    <n v="3"/>
    <s v="Medical"/>
    <n v="1"/>
    <n v="1108"/>
    <n v="1"/>
    <s v="Male"/>
    <n v="55"/>
    <n v="2"/>
    <n v="1"/>
    <x v="1"/>
    <x v="1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  <x v="2"/>
    <x v="1"/>
    <x v="1"/>
  </r>
  <r>
    <n v="42"/>
    <x v="1"/>
    <s v="Travel_Rarely"/>
    <n v="469"/>
    <x v="1"/>
    <x v="2"/>
    <n v="2"/>
    <s v="Medical"/>
    <n v="1"/>
    <n v="1109"/>
    <n v="4"/>
    <s v="Male"/>
    <n v="35"/>
    <n v="3"/>
    <n v="4"/>
    <x v="5"/>
    <x v="3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  <x v="0"/>
    <x v="2"/>
    <x v="3"/>
  </r>
  <r>
    <n v="28"/>
    <x v="0"/>
    <s v="Travel_Frequently"/>
    <n v="1009"/>
    <x v="1"/>
    <x v="0"/>
    <n v="3"/>
    <s v="Medical"/>
    <n v="1"/>
    <n v="1111"/>
    <n v="1"/>
    <s v="Male"/>
    <n v="45"/>
    <n v="2"/>
    <n v="1"/>
    <x v="2"/>
    <x v="1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  <x v="2"/>
    <x v="1"/>
    <x v="1"/>
  </r>
  <r>
    <n v="50"/>
    <x v="0"/>
    <s v="Travel_Frequently"/>
    <n v="959"/>
    <x v="0"/>
    <x v="0"/>
    <n v="4"/>
    <s v="Other"/>
    <n v="1"/>
    <n v="1113"/>
    <n v="4"/>
    <s v="Male"/>
    <n v="81"/>
    <n v="3"/>
    <n v="2"/>
    <x v="0"/>
    <x v="2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  <x v="1"/>
    <x v="0"/>
    <x v="1"/>
  </r>
  <r>
    <n v="33"/>
    <x v="1"/>
    <s v="Travel_Frequently"/>
    <n v="970"/>
    <x v="0"/>
    <x v="15"/>
    <n v="3"/>
    <s v="Life Sciences"/>
    <n v="1"/>
    <n v="1114"/>
    <n v="4"/>
    <s v="Female"/>
    <n v="30"/>
    <n v="3"/>
    <n v="2"/>
    <x v="0"/>
    <x v="1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  <x v="2"/>
    <x v="0"/>
    <x v="2"/>
  </r>
  <r>
    <n v="34"/>
    <x v="1"/>
    <s v="Non-Travel"/>
    <n v="697"/>
    <x v="1"/>
    <x v="3"/>
    <n v="4"/>
    <s v="Life Sciences"/>
    <n v="1"/>
    <n v="1115"/>
    <n v="3"/>
    <s v="Male"/>
    <n v="40"/>
    <n v="2"/>
    <n v="1"/>
    <x v="1"/>
    <x v="0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  <x v="2"/>
    <x v="1"/>
    <x v="1"/>
  </r>
  <r>
    <n v="48"/>
    <x v="1"/>
    <s v="Non-Travel"/>
    <n v="1262"/>
    <x v="1"/>
    <x v="0"/>
    <n v="4"/>
    <s v="Medical"/>
    <n v="1"/>
    <n v="1116"/>
    <n v="1"/>
    <s v="Male"/>
    <n v="35"/>
    <n v="4"/>
    <n v="4"/>
    <x v="5"/>
    <x v="0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  <x v="1"/>
    <x v="2"/>
    <x v="2"/>
  </r>
  <r>
    <n v="45"/>
    <x v="1"/>
    <s v="Non-Travel"/>
    <n v="1050"/>
    <x v="0"/>
    <x v="14"/>
    <n v="4"/>
    <s v="Life Sciences"/>
    <n v="1"/>
    <n v="1117"/>
    <n v="2"/>
    <s v="Female"/>
    <n v="65"/>
    <n v="2"/>
    <n v="2"/>
    <x v="0"/>
    <x v="2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  <x v="0"/>
    <x v="0"/>
    <x v="3"/>
  </r>
  <r>
    <n v="52"/>
    <x v="1"/>
    <s v="Travel_Rarely"/>
    <n v="994"/>
    <x v="1"/>
    <x v="15"/>
    <n v="4"/>
    <s v="Life Sciences"/>
    <n v="1"/>
    <n v="1118"/>
    <n v="2"/>
    <s v="Male"/>
    <n v="87"/>
    <n v="3"/>
    <n v="3"/>
    <x v="4"/>
    <x v="1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  <x v="1"/>
    <x v="2"/>
    <x v="0"/>
  </r>
  <r>
    <n v="38"/>
    <x v="1"/>
    <s v="Travel_Rarely"/>
    <n v="770"/>
    <x v="0"/>
    <x v="17"/>
    <n v="4"/>
    <s v="Marketing"/>
    <n v="1"/>
    <n v="1119"/>
    <n v="3"/>
    <s v="Male"/>
    <n v="73"/>
    <n v="2"/>
    <n v="3"/>
    <x v="0"/>
    <x v="2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  <x v="0"/>
    <x v="2"/>
    <x v="0"/>
  </r>
  <r>
    <n v="29"/>
    <x v="1"/>
    <s v="Travel_Rarely"/>
    <n v="1107"/>
    <x v="1"/>
    <x v="26"/>
    <n v="4"/>
    <s v="Life Sciences"/>
    <n v="1"/>
    <n v="1120"/>
    <n v="3"/>
    <s v="Female"/>
    <n v="93"/>
    <n v="3"/>
    <n v="1"/>
    <x v="1"/>
    <x v="0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  <x v="2"/>
    <x v="1"/>
    <x v="0"/>
  </r>
  <r>
    <n v="28"/>
    <x v="1"/>
    <s v="Travel_Rarely"/>
    <n v="950"/>
    <x v="1"/>
    <x v="3"/>
    <n v="3"/>
    <s v="Medical"/>
    <n v="1"/>
    <n v="1121"/>
    <n v="4"/>
    <s v="Female"/>
    <n v="93"/>
    <n v="3"/>
    <n v="3"/>
    <x v="3"/>
    <x v="1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  <x v="2"/>
    <x v="2"/>
    <x v="0"/>
  </r>
  <r>
    <n v="46"/>
    <x v="1"/>
    <s v="Travel_Rarely"/>
    <n v="406"/>
    <x v="0"/>
    <x v="3"/>
    <n v="1"/>
    <s v="Marketing"/>
    <n v="1"/>
    <n v="1124"/>
    <n v="1"/>
    <s v="Male"/>
    <n v="52"/>
    <n v="3"/>
    <n v="4"/>
    <x v="5"/>
    <x v="2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  <x v="1"/>
    <x v="2"/>
    <x v="3"/>
  </r>
  <r>
    <n v="38"/>
    <x v="1"/>
    <s v="Travel_Rarely"/>
    <n v="130"/>
    <x v="0"/>
    <x v="2"/>
    <n v="2"/>
    <s v="Marketing"/>
    <n v="1"/>
    <n v="1125"/>
    <n v="4"/>
    <s v="Male"/>
    <n v="32"/>
    <n v="3"/>
    <n v="3"/>
    <x v="0"/>
    <x v="1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  <x v="0"/>
    <x v="2"/>
    <x v="1"/>
  </r>
  <r>
    <n v="43"/>
    <x v="1"/>
    <s v="Travel_Frequently"/>
    <n v="1082"/>
    <x v="1"/>
    <x v="6"/>
    <n v="3"/>
    <s v="Life Sciences"/>
    <n v="1"/>
    <n v="1126"/>
    <n v="3"/>
    <s v="Female"/>
    <n v="83"/>
    <n v="3"/>
    <n v="3"/>
    <x v="3"/>
    <x v="3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  <x v="0"/>
    <x v="2"/>
    <x v="0"/>
  </r>
  <r>
    <n v="39"/>
    <x v="0"/>
    <s v="Travel_Frequently"/>
    <n v="203"/>
    <x v="1"/>
    <x v="2"/>
    <n v="3"/>
    <s v="Life Sciences"/>
    <n v="1"/>
    <n v="1127"/>
    <n v="1"/>
    <s v="Male"/>
    <n v="84"/>
    <n v="3"/>
    <n v="4"/>
    <x v="4"/>
    <x v="0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  <x v="0"/>
    <x v="2"/>
    <x v="3"/>
  </r>
  <r>
    <n v="40"/>
    <x v="1"/>
    <s v="Travel_Rarely"/>
    <n v="1308"/>
    <x v="1"/>
    <x v="24"/>
    <n v="3"/>
    <s v="Medical"/>
    <n v="1"/>
    <n v="1128"/>
    <n v="3"/>
    <s v="Male"/>
    <n v="44"/>
    <n v="2"/>
    <n v="5"/>
    <x v="7"/>
    <x v="2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  <x v="0"/>
    <x v="2"/>
    <x v="3"/>
  </r>
  <r>
    <n v="21"/>
    <x v="1"/>
    <s v="Travel_Rarely"/>
    <n v="984"/>
    <x v="1"/>
    <x v="0"/>
    <n v="1"/>
    <s v="Technical Degree"/>
    <n v="1"/>
    <n v="1131"/>
    <n v="4"/>
    <s v="Female"/>
    <n v="70"/>
    <n v="2"/>
    <n v="1"/>
    <x v="1"/>
    <x v="1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  <x v="3"/>
    <x v="1"/>
    <x v="1"/>
  </r>
  <r>
    <n v="39"/>
    <x v="1"/>
    <s v="Non-Travel"/>
    <n v="439"/>
    <x v="1"/>
    <x v="14"/>
    <n v="3"/>
    <s v="Life Sciences"/>
    <n v="1"/>
    <n v="1132"/>
    <n v="3"/>
    <s v="Male"/>
    <n v="70"/>
    <n v="3"/>
    <n v="2"/>
    <x v="2"/>
    <x v="1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  <x v="0"/>
    <x v="0"/>
    <x v="2"/>
  </r>
  <r>
    <n v="36"/>
    <x v="1"/>
    <s v="Non-Travel"/>
    <n v="217"/>
    <x v="1"/>
    <x v="21"/>
    <n v="4"/>
    <s v="Life Sciences"/>
    <n v="1"/>
    <n v="1133"/>
    <n v="1"/>
    <s v="Male"/>
    <n v="78"/>
    <n v="3"/>
    <n v="2"/>
    <x v="3"/>
    <x v="0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  <x v="0"/>
    <x v="2"/>
    <x v="3"/>
  </r>
  <r>
    <n v="31"/>
    <x v="1"/>
    <s v="Travel_Frequently"/>
    <n v="793"/>
    <x v="0"/>
    <x v="25"/>
    <n v="3"/>
    <s v="Life Sciences"/>
    <n v="1"/>
    <n v="1135"/>
    <n v="3"/>
    <s v="Male"/>
    <n v="67"/>
    <n v="4"/>
    <n v="1"/>
    <x v="6"/>
    <x v="0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  <x v="2"/>
    <x v="1"/>
    <x v="1"/>
  </r>
  <r>
    <n v="28"/>
    <x v="1"/>
    <s v="Travel_Rarely"/>
    <n v="1451"/>
    <x v="1"/>
    <x v="2"/>
    <n v="1"/>
    <s v="Life Sciences"/>
    <n v="1"/>
    <n v="1136"/>
    <n v="1"/>
    <s v="Male"/>
    <n v="67"/>
    <n v="2"/>
    <n v="1"/>
    <x v="1"/>
    <x v="1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  <x v="2"/>
    <x v="0"/>
    <x v="2"/>
  </r>
  <r>
    <n v="35"/>
    <x v="1"/>
    <s v="Travel_Frequently"/>
    <n v="1182"/>
    <x v="0"/>
    <x v="13"/>
    <n v="2"/>
    <s v="Marketing"/>
    <n v="1"/>
    <n v="1137"/>
    <n v="4"/>
    <s v="Male"/>
    <n v="54"/>
    <n v="3"/>
    <n v="2"/>
    <x v="0"/>
    <x v="0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  <x v="2"/>
    <x v="0"/>
    <x v="2"/>
  </r>
  <r>
    <n v="49"/>
    <x v="1"/>
    <s v="Travel_Rarely"/>
    <n v="174"/>
    <x v="0"/>
    <x v="1"/>
    <n v="4"/>
    <s v="Technical Degree"/>
    <n v="1"/>
    <n v="1138"/>
    <n v="4"/>
    <s v="Male"/>
    <n v="56"/>
    <n v="2"/>
    <n v="4"/>
    <x v="0"/>
    <x v="1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  <x v="1"/>
    <x v="2"/>
    <x v="0"/>
  </r>
  <r>
    <n v="34"/>
    <x v="1"/>
    <s v="Travel_Frequently"/>
    <n v="1003"/>
    <x v="1"/>
    <x v="2"/>
    <n v="2"/>
    <s v="Life Sciences"/>
    <n v="1"/>
    <n v="1140"/>
    <n v="4"/>
    <s v="Male"/>
    <n v="95"/>
    <n v="3"/>
    <n v="2"/>
    <x v="3"/>
    <x v="2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  <x v="2"/>
    <x v="0"/>
    <x v="2"/>
  </r>
  <r>
    <n v="29"/>
    <x v="1"/>
    <s v="Travel_Frequently"/>
    <n v="490"/>
    <x v="1"/>
    <x v="17"/>
    <n v="3"/>
    <s v="Life Sciences"/>
    <n v="1"/>
    <n v="1143"/>
    <n v="4"/>
    <s v="Female"/>
    <n v="61"/>
    <n v="3"/>
    <n v="1"/>
    <x v="1"/>
    <x v="1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  <x v="2"/>
    <x v="0"/>
    <x v="0"/>
  </r>
  <r>
    <n v="42"/>
    <x v="1"/>
    <s v="Travel_Rarely"/>
    <n v="188"/>
    <x v="1"/>
    <x v="22"/>
    <n v="3"/>
    <s v="Medical"/>
    <n v="1"/>
    <n v="1148"/>
    <n v="2"/>
    <s v="Male"/>
    <n v="56"/>
    <n v="1"/>
    <n v="2"/>
    <x v="2"/>
    <x v="0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  <x v="0"/>
    <x v="0"/>
    <x v="1"/>
  </r>
  <r>
    <n v="29"/>
    <x v="1"/>
    <s v="Travel_Rarely"/>
    <n v="718"/>
    <x v="1"/>
    <x v="1"/>
    <n v="1"/>
    <s v="Medical"/>
    <n v="1"/>
    <n v="1150"/>
    <n v="2"/>
    <s v="Male"/>
    <n v="79"/>
    <n v="2"/>
    <n v="2"/>
    <x v="3"/>
    <x v="0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  <x v="2"/>
    <x v="0"/>
    <x v="0"/>
  </r>
  <r>
    <n v="38"/>
    <x v="1"/>
    <s v="Travel_Rarely"/>
    <n v="433"/>
    <x v="2"/>
    <x v="0"/>
    <n v="3"/>
    <s v="Human Resources"/>
    <n v="1"/>
    <n v="1152"/>
    <n v="3"/>
    <s v="Male"/>
    <n v="37"/>
    <n v="4"/>
    <n v="1"/>
    <x v="8"/>
    <x v="2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  <x v="0"/>
    <x v="1"/>
    <x v="0"/>
  </r>
  <r>
    <n v="28"/>
    <x v="1"/>
    <s v="Travel_Frequently"/>
    <n v="773"/>
    <x v="1"/>
    <x v="16"/>
    <n v="3"/>
    <s v="Life Sciences"/>
    <n v="1"/>
    <n v="1154"/>
    <n v="3"/>
    <s v="Male"/>
    <n v="39"/>
    <n v="2"/>
    <n v="1"/>
    <x v="1"/>
    <x v="2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  <x v="2"/>
    <x v="1"/>
    <x v="2"/>
  </r>
  <r>
    <n v="18"/>
    <x v="0"/>
    <s v="Non-Travel"/>
    <n v="247"/>
    <x v="1"/>
    <x v="1"/>
    <n v="1"/>
    <s v="Medical"/>
    <n v="1"/>
    <n v="1156"/>
    <n v="3"/>
    <s v="Male"/>
    <n v="80"/>
    <n v="3"/>
    <n v="1"/>
    <x v="2"/>
    <x v="2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  <x v="3"/>
    <x v="1"/>
    <x v="1"/>
  </r>
  <r>
    <n v="33"/>
    <x v="0"/>
    <s v="Travel_Rarely"/>
    <n v="603"/>
    <x v="0"/>
    <x v="14"/>
    <n v="4"/>
    <s v="Marketing"/>
    <n v="1"/>
    <n v="1157"/>
    <n v="1"/>
    <s v="Female"/>
    <n v="77"/>
    <n v="3"/>
    <n v="2"/>
    <x v="0"/>
    <x v="3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  <x v="2"/>
    <x v="2"/>
    <x v="2"/>
  </r>
  <r>
    <n v="41"/>
    <x v="1"/>
    <s v="Travel_Rarely"/>
    <n v="167"/>
    <x v="1"/>
    <x v="20"/>
    <n v="4"/>
    <s v="Life Sciences"/>
    <n v="1"/>
    <n v="1158"/>
    <n v="2"/>
    <s v="Male"/>
    <n v="46"/>
    <n v="3"/>
    <n v="1"/>
    <x v="2"/>
    <x v="0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  <x v="0"/>
    <x v="0"/>
    <x v="1"/>
  </r>
  <r>
    <n v="31"/>
    <x v="0"/>
    <s v="Travel_Frequently"/>
    <n v="874"/>
    <x v="1"/>
    <x v="8"/>
    <n v="3"/>
    <s v="Medical"/>
    <n v="1"/>
    <n v="1160"/>
    <n v="3"/>
    <s v="Male"/>
    <n v="72"/>
    <n v="3"/>
    <n v="1"/>
    <x v="2"/>
    <x v="2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  <x v="2"/>
    <x v="1"/>
    <x v="1"/>
  </r>
  <r>
    <n v="37"/>
    <x v="1"/>
    <s v="Travel_Rarely"/>
    <n v="367"/>
    <x v="1"/>
    <x v="19"/>
    <n v="2"/>
    <s v="Medical"/>
    <n v="1"/>
    <n v="1161"/>
    <n v="3"/>
    <s v="Female"/>
    <n v="52"/>
    <n v="2"/>
    <n v="2"/>
    <x v="4"/>
    <x v="0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  <x v="0"/>
    <x v="0"/>
    <x v="0"/>
  </r>
  <r>
    <n v="27"/>
    <x v="1"/>
    <s v="Travel_Rarely"/>
    <n v="199"/>
    <x v="1"/>
    <x v="16"/>
    <n v="3"/>
    <s v="Life Sciences"/>
    <n v="1"/>
    <n v="1162"/>
    <n v="4"/>
    <s v="Male"/>
    <n v="55"/>
    <n v="2"/>
    <n v="1"/>
    <x v="1"/>
    <x v="2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  <x v="2"/>
    <x v="1"/>
    <x v="2"/>
  </r>
  <r>
    <n v="34"/>
    <x v="1"/>
    <s v="Travel_Rarely"/>
    <n v="1400"/>
    <x v="0"/>
    <x v="14"/>
    <n v="1"/>
    <s v="Life Sciences"/>
    <n v="1"/>
    <n v="1163"/>
    <n v="2"/>
    <s v="Female"/>
    <n v="70"/>
    <n v="3"/>
    <n v="2"/>
    <x v="0"/>
    <x v="2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  <x v="2"/>
    <x v="0"/>
    <x v="0"/>
  </r>
  <r>
    <n v="35"/>
    <x v="1"/>
    <s v="Travel_Rarely"/>
    <n v="528"/>
    <x v="2"/>
    <x v="1"/>
    <n v="4"/>
    <s v="Technical Degree"/>
    <n v="1"/>
    <n v="1164"/>
    <n v="3"/>
    <s v="Male"/>
    <n v="100"/>
    <n v="3"/>
    <n v="1"/>
    <x v="8"/>
    <x v="2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  <x v="2"/>
    <x v="0"/>
    <x v="2"/>
  </r>
  <r>
    <n v="29"/>
    <x v="0"/>
    <s v="Travel_Rarely"/>
    <n v="408"/>
    <x v="0"/>
    <x v="5"/>
    <n v="1"/>
    <s v="Life Sciences"/>
    <n v="1"/>
    <n v="1165"/>
    <n v="4"/>
    <s v="Female"/>
    <n v="45"/>
    <n v="2"/>
    <n v="3"/>
    <x v="0"/>
    <x v="3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  <x v="2"/>
    <x v="2"/>
    <x v="3"/>
  </r>
  <r>
    <n v="40"/>
    <x v="1"/>
    <s v="Travel_Frequently"/>
    <n v="593"/>
    <x v="1"/>
    <x v="14"/>
    <n v="4"/>
    <s v="Medical"/>
    <n v="1"/>
    <n v="1166"/>
    <n v="2"/>
    <s v="Female"/>
    <n v="88"/>
    <n v="3"/>
    <n v="3"/>
    <x v="7"/>
    <x v="2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  <x v="0"/>
    <x v="2"/>
    <x v="3"/>
  </r>
  <r>
    <n v="42"/>
    <x v="0"/>
    <s v="Travel_Frequently"/>
    <n v="481"/>
    <x v="0"/>
    <x v="20"/>
    <n v="3"/>
    <s v="Life Sciences"/>
    <n v="1"/>
    <n v="1167"/>
    <n v="3"/>
    <s v="Male"/>
    <n v="44"/>
    <n v="3"/>
    <n v="4"/>
    <x v="0"/>
    <x v="3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  <x v="0"/>
    <x v="2"/>
    <x v="3"/>
  </r>
  <r>
    <n v="42"/>
    <x v="1"/>
    <s v="Travel_Rarely"/>
    <n v="647"/>
    <x v="0"/>
    <x v="18"/>
    <n v="4"/>
    <s v="Marketing"/>
    <n v="1"/>
    <n v="1171"/>
    <n v="2"/>
    <s v="Male"/>
    <n v="45"/>
    <n v="3"/>
    <n v="2"/>
    <x v="0"/>
    <x v="3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  <x v="0"/>
    <x v="0"/>
    <x v="0"/>
  </r>
  <r>
    <n v="35"/>
    <x v="1"/>
    <s v="Travel_Rarely"/>
    <n v="982"/>
    <x v="1"/>
    <x v="0"/>
    <n v="4"/>
    <s v="Medical"/>
    <n v="1"/>
    <n v="1172"/>
    <n v="4"/>
    <s v="Male"/>
    <n v="58"/>
    <n v="2"/>
    <n v="1"/>
    <x v="2"/>
    <x v="2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  <x v="2"/>
    <x v="1"/>
    <x v="0"/>
  </r>
  <r>
    <n v="24"/>
    <x v="1"/>
    <s v="Travel_Rarely"/>
    <n v="477"/>
    <x v="1"/>
    <x v="4"/>
    <n v="3"/>
    <s v="Medical"/>
    <n v="1"/>
    <n v="1173"/>
    <n v="4"/>
    <s v="Male"/>
    <n v="49"/>
    <n v="3"/>
    <n v="1"/>
    <x v="2"/>
    <x v="1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  <x v="3"/>
    <x v="0"/>
    <x v="2"/>
  </r>
  <r>
    <n v="28"/>
    <x v="0"/>
    <s v="Travel_Rarely"/>
    <n v="1485"/>
    <x v="1"/>
    <x v="20"/>
    <n v="1"/>
    <s v="Life Sciences"/>
    <n v="1"/>
    <n v="1175"/>
    <n v="3"/>
    <s v="Female"/>
    <n v="79"/>
    <n v="3"/>
    <n v="1"/>
    <x v="2"/>
    <x v="0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  <x v="2"/>
    <x v="1"/>
    <x v="1"/>
  </r>
  <r>
    <n v="26"/>
    <x v="1"/>
    <s v="Travel_Rarely"/>
    <n v="1384"/>
    <x v="1"/>
    <x v="3"/>
    <n v="4"/>
    <s v="Medical"/>
    <n v="1"/>
    <n v="1177"/>
    <n v="1"/>
    <s v="Male"/>
    <n v="82"/>
    <n v="4"/>
    <n v="1"/>
    <x v="2"/>
    <x v="0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  <x v="2"/>
    <x v="0"/>
    <x v="0"/>
  </r>
  <r>
    <n v="30"/>
    <x v="1"/>
    <s v="Travel_Rarely"/>
    <n v="852"/>
    <x v="0"/>
    <x v="17"/>
    <n v="3"/>
    <s v="Marketing"/>
    <n v="1"/>
    <n v="1179"/>
    <n v="3"/>
    <s v="Male"/>
    <n v="72"/>
    <n v="2"/>
    <n v="2"/>
    <x v="0"/>
    <x v="2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  <x v="2"/>
    <x v="0"/>
    <x v="0"/>
  </r>
  <r>
    <n v="40"/>
    <x v="1"/>
    <s v="Travel_Frequently"/>
    <n v="902"/>
    <x v="1"/>
    <x v="9"/>
    <n v="2"/>
    <s v="Medical"/>
    <n v="1"/>
    <n v="1180"/>
    <n v="3"/>
    <s v="Female"/>
    <n v="92"/>
    <n v="2"/>
    <n v="2"/>
    <x v="1"/>
    <x v="0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  <x v="0"/>
    <x v="0"/>
    <x v="1"/>
  </r>
  <r>
    <n v="35"/>
    <x v="1"/>
    <s v="Travel_Rarely"/>
    <n v="819"/>
    <x v="1"/>
    <x v="2"/>
    <n v="3"/>
    <s v="Life Sciences"/>
    <n v="1"/>
    <n v="1182"/>
    <n v="3"/>
    <s v="Male"/>
    <n v="44"/>
    <n v="2"/>
    <n v="3"/>
    <x v="3"/>
    <x v="1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  <x v="2"/>
    <x v="2"/>
    <x v="0"/>
  </r>
  <r>
    <n v="34"/>
    <x v="1"/>
    <s v="Travel_Frequently"/>
    <n v="669"/>
    <x v="1"/>
    <x v="0"/>
    <n v="3"/>
    <s v="Medical"/>
    <n v="1"/>
    <n v="1184"/>
    <n v="4"/>
    <s v="Male"/>
    <n v="97"/>
    <n v="2"/>
    <n v="2"/>
    <x v="4"/>
    <x v="3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  <x v="2"/>
    <x v="0"/>
    <x v="3"/>
  </r>
  <r>
    <n v="35"/>
    <x v="1"/>
    <s v="Travel_Frequently"/>
    <n v="636"/>
    <x v="1"/>
    <x v="18"/>
    <n v="4"/>
    <s v="Other"/>
    <n v="1"/>
    <n v="1185"/>
    <n v="4"/>
    <s v="Male"/>
    <n v="47"/>
    <n v="2"/>
    <n v="1"/>
    <x v="2"/>
    <x v="0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  <x v="2"/>
    <x v="1"/>
    <x v="1"/>
  </r>
  <r>
    <n v="43"/>
    <x v="0"/>
    <s v="Travel_Rarely"/>
    <n v="1372"/>
    <x v="0"/>
    <x v="14"/>
    <n v="3"/>
    <s v="Marketing"/>
    <n v="1"/>
    <n v="1188"/>
    <n v="1"/>
    <s v="Female"/>
    <n v="85"/>
    <n v="1"/>
    <n v="2"/>
    <x v="0"/>
    <x v="2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  <x v="0"/>
    <x v="0"/>
    <x v="2"/>
  </r>
  <r>
    <n v="32"/>
    <x v="1"/>
    <s v="Non-Travel"/>
    <n v="862"/>
    <x v="0"/>
    <x v="2"/>
    <n v="1"/>
    <s v="Life Sciences"/>
    <n v="1"/>
    <n v="1190"/>
    <n v="3"/>
    <s v="Female"/>
    <n v="76"/>
    <n v="3"/>
    <n v="1"/>
    <x v="6"/>
    <x v="3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  <x v="2"/>
    <x v="1"/>
    <x v="1"/>
  </r>
  <r>
    <n v="56"/>
    <x v="1"/>
    <s v="Travel_Rarely"/>
    <n v="718"/>
    <x v="1"/>
    <x v="18"/>
    <n v="4"/>
    <s v="Technical Degree"/>
    <n v="1"/>
    <n v="1191"/>
    <n v="4"/>
    <s v="Female"/>
    <n v="92"/>
    <n v="3"/>
    <n v="5"/>
    <x v="5"/>
    <x v="3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  <x v="1"/>
    <x v="2"/>
    <x v="2"/>
  </r>
  <r>
    <n v="29"/>
    <x v="1"/>
    <s v="Travel_Rarely"/>
    <n v="1401"/>
    <x v="1"/>
    <x v="16"/>
    <n v="1"/>
    <s v="Medical"/>
    <n v="1"/>
    <n v="1192"/>
    <n v="2"/>
    <s v="Female"/>
    <n v="54"/>
    <n v="3"/>
    <n v="1"/>
    <x v="2"/>
    <x v="0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  <x v="2"/>
    <x v="0"/>
    <x v="0"/>
  </r>
  <r>
    <n v="19"/>
    <x v="1"/>
    <s v="Travel_Rarely"/>
    <n v="645"/>
    <x v="1"/>
    <x v="14"/>
    <n v="2"/>
    <s v="Life Sciences"/>
    <n v="1"/>
    <n v="1193"/>
    <n v="3"/>
    <s v="Male"/>
    <n v="54"/>
    <n v="3"/>
    <n v="1"/>
    <x v="1"/>
    <x v="3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  <x v="3"/>
    <x v="1"/>
    <x v="1"/>
  </r>
  <r>
    <n v="45"/>
    <x v="1"/>
    <s v="Travel_Rarely"/>
    <n v="1457"/>
    <x v="1"/>
    <x v="15"/>
    <n v="3"/>
    <s v="Medical"/>
    <n v="1"/>
    <n v="1195"/>
    <n v="1"/>
    <s v="Female"/>
    <n v="83"/>
    <n v="3"/>
    <n v="1"/>
    <x v="1"/>
    <x v="2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  <x v="0"/>
    <x v="0"/>
    <x v="2"/>
  </r>
  <r>
    <n v="37"/>
    <x v="1"/>
    <s v="Travel_Rarely"/>
    <n v="977"/>
    <x v="1"/>
    <x v="0"/>
    <n v="3"/>
    <s v="Life Sciences"/>
    <n v="1"/>
    <n v="1196"/>
    <n v="4"/>
    <s v="Female"/>
    <n v="56"/>
    <n v="2"/>
    <n v="2"/>
    <x v="3"/>
    <x v="0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  <x v="0"/>
    <x v="0"/>
    <x v="3"/>
  </r>
  <r>
    <n v="20"/>
    <x v="1"/>
    <s v="Travel_Rarely"/>
    <n v="805"/>
    <x v="1"/>
    <x v="3"/>
    <n v="3"/>
    <s v="Life Sciences"/>
    <n v="1"/>
    <n v="1198"/>
    <n v="1"/>
    <s v="Male"/>
    <n v="87"/>
    <n v="2"/>
    <n v="1"/>
    <x v="2"/>
    <x v="2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  <x v="3"/>
    <x v="0"/>
    <x v="1"/>
  </r>
  <r>
    <n v="44"/>
    <x v="0"/>
    <s v="Travel_Rarely"/>
    <n v="1097"/>
    <x v="1"/>
    <x v="17"/>
    <n v="4"/>
    <s v="Life Sciences"/>
    <n v="1"/>
    <n v="1200"/>
    <n v="3"/>
    <s v="Male"/>
    <n v="96"/>
    <n v="3"/>
    <n v="1"/>
    <x v="1"/>
    <x v="2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  <x v="0"/>
    <x v="1"/>
    <x v="0"/>
  </r>
  <r>
    <n v="53"/>
    <x v="1"/>
    <s v="Travel_Rarely"/>
    <n v="1223"/>
    <x v="1"/>
    <x v="15"/>
    <n v="2"/>
    <s v="Medical"/>
    <n v="1"/>
    <n v="1201"/>
    <n v="4"/>
    <s v="Female"/>
    <n v="50"/>
    <n v="3"/>
    <n v="5"/>
    <x v="5"/>
    <x v="2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  <x v="1"/>
    <x v="2"/>
    <x v="0"/>
  </r>
  <r>
    <n v="29"/>
    <x v="1"/>
    <s v="Travel_Rarely"/>
    <n v="942"/>
    <x v="1"/>
    <x v="8"/>
    <n v="1"/>
    <s v="Life Sciences"/>
    <n v="1"/>
    <n v="1202"/>
    <n v="2"/>
    <s v="Female"/>
    <n v="69"/>
    <n v="1"/>
    <n v="1"/>
    <x v="1"/>
    <x v="0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  <x v="2"/>
    <x v="1"/>
    <x v="2"/>
  </r>
  <r>
    <n v="22"/>
    <x v="0"/>
    <s v="Travel_Frequently"/>
    <n v="1256"/>
    <x v="1"/>
    <x v="3"/>
    <n v="4"/>
    <s v="Life Sciences"/>
    <n v="1"/>
    <n v="1203"/>
    <n v="3"/>
    <s v="Male"/>
    <n v="48"/>
    <n v="2"/>
    <n v="1"/>
    <x v="1"/>
    <x v="0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  <x v="3"/>
    <x v="1"/>
    <x v="1"/>
  </r>
  <r>
    <n v="46"/>
    <x v="1"/>
    <s v="Travel_Rarely"/>
    <n v="1402"/>
    <x v="0"/>
    <x v="2"/>
    <n v="3"/>
    <s v="Marketing"/>
    <n v="1"/>
    <n v="1204"/>
    <n v="3"/>
    <s v="Female"/>
    <n v="69"/>
    <n v="3"/>
    <n v="4"/>
    <x v="5"/>
    <x v="3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  <x v="1"/>
    <x v="2"/>
    <x v="3"/>
  </r>
  <r>
    <n v="44"/>
    <x v="1"/>
    <s v="Non-Travel"/>
    <n v="111"/>
    <x v="1"/>
    <x v="27"/>
    <n v="3"/>
    <s v="Life Sciences"/>
    <n v="1"/>
    <n v="1206"/>
    <n v="4"/>
    <s v="Male"/>
    <n v="74"/>
    <n v="1"/>
    <n v="1"/>
    <x v="1"/>
    <x v="2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  <x v="0"/>
    <x v="1"/>
    <x v="1"/>
  </r>
  <r>
    <n v="33"/>
    <x v="1"/>
    <s v="Travel_Rarely"/>
    <n v="147"/>
    <x v="2"/>
    <x v="2"/>
    <n v="3"/>
    <s v="Human Resources"/>
    <n v="1"/>
    <n v="1207"/>
    <n v="2"/>
    <s v="Male"/>
    <n v="99"/>
    <n v="3"/>
    <n v="1"/>
    <x v="8"/>
    <x v="2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  <x v="2"/>
    <x v="0"/>
    <x v="2"/>
  </r>
  <r>
    <n v="41"/>
    <x v="0"/>
    <s v="Non-Travel"/>
    <n v="906"/>
    <x v="1"/>
    <x v="12"/>
    <n v="2"/>
    <s v="Life Sciences"/>
    <n v="1"/>
    <n v="1210"/>
    <n v="1"/>
    <s v="Male"/>
    <n v="95"/>
    <n v="2"/>
    <n v="1"/>
    <x v="1"/>
    <x v="3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  <x v="0"/>
    <x v="1"/>
    <x v="1"/>
  </r>
  <r>
    <n v="30"/>
    <x v="1"/>
    <s v="Travel_Rarely"/>
    <n v="1329"/>
    <x v="0"/>
    <x v="22"/>
    <n v="4"/>
    <s v="Life Sciences"/>
    <n v="1"/>
    <n v="1211"/>
    <n v="3"/>
    <s v="Male"/>
    <n v="61"/>
    <n v="3"/>
    <n v="2"/>
    <x v="0"/>
    <x v="3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  <x v="2"/>
    <x v="0"/>
    <x v="2"/>
  </r>
  <r>
    <n v="40"/>
    <x v="1"/>
    <s v="Travel_Frequently"/>
    <n v="1184"/>
    <x v="0"/>
    <x v="2"/>
    <n v="4"/>
    <s v="Medical"/>
    <n v="1"/>
    <n v="1212"/>
    <n v="2"/>
    <s v="Male"/>
    <n v="62"/>
    <n v="3"/>
    <n v="2"/>
    <x v="0"/>
    <x v="1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  <x v="0"/>
    <x v="0"/>
    <x v="1"/>
  </r>
  <r>
    <n v="50"/>
    <x v="1"/>
    <s v="Travel_Frequently"/>
    <n v="1421"/>
    <x v="1"/>
    <x v="2"/>
    <n v="3"/>
    <s v="Medical"/>
    <n v="1"/>
    <n v="1215"/>
    <n v="4"/>
    <s v="Female"/>
    <n v="30"/>
    <n v="3"/>
    <n v="4"/>
    <x v="5"/>
    <x v="3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  <x v="1"/>
    <x v="2"/>
    <x v="1"/>
  </r>
  <r>
    <n v="28"/>
    <x v="1"/>
    <s v="Travel_Rarely"/>
    <n v="1179"/>
    <x v="1"/>
    <x v="10"/>
    <n v="4"/>
    <s v="Medical"/>
    <n v="1"/>
    <n v="1216"/>
    <n v="4"/>
    <s v="Male"/>
    <n v="78"/>
    <n v="2"/>
    <n v="1"/>
    <x v="2"/>
    <x v="3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  <x v="2"/>
    <x v="0"/>
    <x v="0"/>
  </r>
  <r>
    <n v="46"/>
    <x v="1"/>
    <s v="Travel_Rarely"/>
    <n v="1450"/>
    <x v="1"/>
    <x v="8"/>
    <n v="2"/>
    <s v="Life Sciences"/>
    <n v="1"/>
    <n v="1217"/>
    <n v="4"/>
    <s v="Male"/>
    <n v="52"/>
    <n v="3"/>
    <n v="5"/>
    <x v="7"/>
    <x v="1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  <x v="1"/>
    <x v="2"/>
    <x v="2"/>
  </r>
  <r>
    <n v="35"/>
    <x v="1"/>
    <s v="Travel_Rarely"/>
    <n v="1361"/>
    <x v="0"/>
    <x v="27"/>
    <n v="4"/>
    <s v="Life Sciences"/>
    <n v="1"/>
    <n v="1218"/>
    <n v="3"/>
    <s v="Male"/>
    <n v="94"/>
    <n v="3"/>
    <n v="2"/>
    <x v="0"/>
    <x v="3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  <x v="2"/>
    <x v="2"/>
    <x v="0"/>
  </r>
  <r>
    <n v="24"/>
    <x v="0"/>
    <s v="Travel_Rarely"/>
    <n v="984"/>
    <x v="1"/>
    <x v="27"/>
    <n v="2"/>
    <s v="Life Sciences"/>
    <n v="1"/>
    <n v="1219"/>
    <n v="4"/>
    <s v="Female"/>
    <n v="97"/>
    <n v="3"/>
    <n v="1"/>
    <x v="2"/>
    <x v="1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  <x v="3"/>
    <x v="1"/>
    <x v="1"/>
  </r>
  <r>
    <n v="33"/>
    <x v="1"/>
    <s v="Travel_Frequently"/>
    <n v="1146"/>
    <x v="0"/>
    <x v="19"/>
    <n v="3"/>
    <s v="Medical"/>
    <n v="1"/>
    <n v="1220"/>
    <n v="2"/>
    <s v="Female"/>
    <n v="82"/>
    <n v="3"/>
    <n v="2"/>
    <x v="0"/>
    <x v="2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  <x v="2"/>
    <x v="0"/>
    <x v="0"/>
  </r>
  <r>
    <n v="36"/>
    <x v="1"/>
    <s v="Travel_Rarely"/>
    <n v="917"/>
    <x v="1"/>
    <x v="16"/>
    <n v="4"/>
    <s v="Life Sciences"/>
    <n v="1"/>
    <n v="1221"/>
    <n v="3"/>
    <s v="Male"/>
    <n v="60"/>
    <n v="1"/>
    <n v="1"/>
    <x v="2"/>
    <x v="2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  <x v="0"/>
    <x v="1"/>
    <x v="0"/>
  </r>
  <r>
    <n v="30"/>
    <x v="1"/>
    <s v="Travel_Rarely"/>
    <n v="853"/>
    <x v="1"/>
    <x v="15"/>
    <n v="4"/>
    <s v="Life Sciences"/>
    <n v="1"/>
    <n v="1224"/>
    <n v="3"/>
    <s v="Male"/>
    <n v="49"/>
    <n v="3"/>
    <n v="2"/>
    <x v="2"/>
    <x v="2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  <x v="2"/>
    <x v="0"/>
    <x v="0"/>
  </r>
  <r>
    <n v="44"/>
    <x v="1"/>
    <s v="Travel_Rarely"/>
    <n v="200"/>
    <x v="1"/>
    <x v="22"/>
    <n v="4"/>
    <s v="Other"/>
    <n v="1"/>
    <n v="1225"/>
    <n v="4"/>
    <s v="Male"/>
    <n v="32"/>
    <n v="3"/>
    <n v="2"/>
    <x v="1"/>
    <x v="0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  <x v="0"/>
    <x v="0"/>
    <x v="3"/>
  </r>
  <r>
    <n v="20"/>
    <x v="1"/>
    <s v="Travel_Rarely"/>
    <n v="654"/>
    <x v="0"/>
    <x v="11"/>
    <n v="3"/>
    <s v="Marketing"/>
    <n v="1"/>
    <n v="1226"/>
    <n v="3"/>
    <s v="Male"/>
    <n v="43"/>
    <n v="4"/>
    <n v="1"/>
    <x v="6"/>
    <x v="0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  <x v="3"/>
    <x v="1"/>
    <x v="1"/>
  </r>
  <r>
    <n v="46"/>
    <x v="1"/>
    <s v="Travel_Rarely"/>
    <n v="150"/>
    <x v="1"/>
    <x v="2"/>
    <n v="4"/>
    <s v="Technical Degree"/>
    <n v="1"/>
    <n v="1228"/>
    <n v="4"/>
    <s v="Male"/>
    <n v="60"/>
    <n v="3"/>
    <n v="2"/>
    <x v="3"/>
    <x v="0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  <x v="1"/>
    <x v="2"/>
    <x v="0"/>
  </r>
  <r>
    <n v="42"/>
    <x v="1"/>
    <s v="Non-Travel"/>
    <n v="179"/>
    <x v="2"/>
    <x v="2"/>
    <n v="5"/>
    <s v="Medical"/>
    <n v="1"/>
    <n v="1231"/>
    <n v="4"/>
    <s v="Male"/>
    <n v="79"/>
    <n v="4"/>
    <n v="2"/>
    <x v="8"/>
    <x v="3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  <x v="0"/>
    <x v="0"/>
    <x v="2"/>
  </r>
  <r>
    <n v="60"/>
    <x v="1"/>
    <s v="Travel_Rarely"/>
    <n v="696"/>
    <x v="0"/>
    <x v="15"/>
    <n v="4"/>
    <s v="Marketing"/>
    <n v="1"/>
    <n v="1233"/>
    <n v="2"/>
    <s v="Male"/>
    <n v="52"/>
    <n v="4"/>
    <n v="2"/>
    <x v="0"/>
    <x v="0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  <x v="1"/>
    <x v="0"/>
    <x v="3"/>
  </r>
  <r>
    <n v="32"/>
    <x v="1"/>
    <s v="Travel_Frequently"/>
    <n v="116"/>
    <x v="1"/>
    <x v="28"/>
    <n v="3"/>
    <s v="Other"/>
    <n v="1"/>
    <n v="1234"/>
    <n v="3"/>
    <s v="Female"/>
    <n v="77"/>
    <n v="2"/>
    <n v="1"/>
    <x v="2"/>
    <x v="1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  <x v="2"/>
    <x v="1"/>
    <x v="1"/>
  </r>
  <r>
    <n v="32"/>
    <x v="1"/>
    <s v="Travel_Frequently"/>
    <n v="1316"/>
    <x v="1"/>
    <x v="2"/>
    <n v="2"/>
    <s v="Life Sciences"/>
    <n v="1"/>
    <n v="1235"/>
    <n v="4"/>
    <s v="Female"/>
    <n v="38"/>
    <n v="3"/>
    <n v="2"/>
    <x v="1"/>
    <x v="2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  <x v="2"/>
    <x v="0"/>
    <x v="0"/>
  </r>
  <r>
    <n v="36"/>
    <x v="1"/>
    <s v="Travel_Rarely"/>
    <n v="363"/>
    <x v="1"/>
    <x v="0"/>
    <n v="3"/>
    <s v="Technical Degree"/>
    <n v="1"/>
    <n v="1237"/>
    <n v="3"/>
    <s v="Female"/>
    <n v="77"/>
    <n v="1"/>
    <n v="3"/>
    <x v="3"/>
    <x v="3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  <x v="0"/>
    <x v="2"/>
    <x v="0"/>
  </r>
  <r>
    <n v="33"/>
    <x v="1"/>
    <s v="Travel_Rarely"/>
    <n v="117"/>
    <x v="1"/>
    <x v="14"/>
    <n v="3"/>
    <s v="Medical"/>
    <n v="1"/>
    <n v="1238"/>
    <n v="1"/>
    <s v="Male"/>
    <n v="60"/>
    <n v="3"/>
    <n v="1"/>
    <x v="1"/>
    <x v="0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  <x v="2"/>
    <x v="1"/>
    <x v="3"/>
  </r>
  <r>
    <n v="40"/>
    <x v="1"/>
    <s v="Travel_Rarely"/>
    <n v="107"/>
    <x v="0"/>
    <x v="17"/>
    <n v="3"/>
    <s v="Technical Degree"/>
    <n v="1"/>
    <n v="1239"/>
    <n v="2"/>
    <s v="Female"/>
    <n v="84"/>
    <n v="2"/>
    <n v="2"/>
    <x v="0"/>
    <x v="1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  <x v="0"/>
    <x v="0"/>
    <x v="2"/>
  </r>
  <r>
    <n v="25"/>
    <x v="1"/>
    <s v="Travel_Rarely"/>
    <n v="1356"/>
    <x v="0"/>
    <x v="17"/>
    <n v="4"/>
    <s v="Life Sciences"/>
    <n v="1"/>
    <n v="1240"/>
    <n v="3"/>
    <s v="Male"/>
    <n v="57"/>
    <n v="3"/>
    <n v="2"/>
    <x v="0"/>
    <x v="0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  <x v="3"/>
    <x v="0"/>
    <x v="2"/>
  </r>
  <r>
    <n v="30"/>
    <x v="1"/>
    <s v="Travel_Rarely"/>
    <n v="1465"/>
    <x v="1"/>
    <x v="0"/>
    <n v="3"/>
    <s v="Medical"/>
    <n v="1"/>
    <n v="1241"/>
    <n v="4"/>
    <s v="Male"/>
    <n v="63"/>
    <n v="3"/>
    <n v="1"/>
    <x v="1"/>
    <x v="1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  <x v="2"/>
    <x v="0"/>
    <x v="3"/>
  </r>
  <r>
    <n v="42"/>
    <x v="1"/>
    <s v="Travel_Frequently"/>
    <n v="458"/>
    <x v="1"/>
    <x v="9"/>
    <n v="5"/>
    <s v="Medical"/>
    <n v="1"/>
    <n v="1242"/>
    <n v="1"/>
    <s v="Female"/>
    <n v="60"/>
    <n v="3"/>
    <n v="3"/>
    <x v="7"/>
    <x v="3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  <x v="0"/>
    <x v="2"/>
    <x v="1"/>
  </r>
  <r>
    <n v="35"/>
    <x v="1"/>
    <s v="Non-Travel"/>
    <n v="1212"/>
    <x v="0"/>
    <x v="1"/>
    <n v="2"/>
    <s v="Marketing"/>
    <n v="1"/>
    <n v="1243"/>
    <n v="3"/>
    <s v="Female"/>
    <n v="78"/>
    <n v="2"/>
    <n v="3"/>
    <x v="0"/>
    <x v="0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  <x v="2"/>
    <x v="2"/>
    <x v="3"/>
  </r>
  <r>
    <n v="27"/>
    <x v="1"/>
    <s v="Travel_Rarely"/>
    <n v="1103"/>
    <x v="1"/>
    <x v="24"/>
    <n v="3"/>
    <s v="Life Sciences"/>
    <n v="1"/>
    <n v="1244"/>
    <n v="1"/>
    <s v="Male"/>
    <n v="42"/>
    <n v="3"/>
    <n v="1"/>
    <x v="1"/>
    <x v="3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  <x v="2"/>
    <x v="1"/>
    <x v="0"/>
  </r>
  <r>
    <n v="54"/>
    <x v="1"/>
    <s v="Travel_Frequently"/>
    <n v="966"/>
    <x v="1"/>
    <x v="0"/>
    <n v="4"/>
    <s v="Life Sciences"/>
    <n v="1"/>
    <n v="1245"/>
    <n v="4"/>
    <s v="Female"/>
    <n v="53"/>
    <n v="3"/>
    <n v="3"/>
    <x v="3"/>
    <x v="2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  <x v="1"/>
    <x v="2"/>
    <x v="2"/>
  </r>
  <r>
    <n v="44"/>
    <x v="1"/>
    <s v="Travel_Rarely"/>
    <n v="1117"/>
    <x v="1"/>
    <x v="2"/>
    <n v="1"/>
    <s v="Life Sciences"/>
    <n v="1"/>
    <n v="1246"/>
    <n v="1"/>
    <s v="Female"/>
    <n v="72"/>
    <n v="4"/>
    <n v="1"/>
    <x v="1"/>
    <x v="0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  <x v="0"/>
    <x v="1"/>
    <x v="0"/>
  </r>
  <r>
    <n v="19"/>
    <x v="0"/>
    <s v="Non-Travel"/>
    <n v="504"/>
    <x v="1"/>
    <x v="17"/>
    <n v="3"/>
    <s v="Medical"/>
    <n v="1"/>
    <n v="1248"/>
    <n v="1"/>
    <s v="Female"/>
    <n v="96"/>
    <n v="2"/>
    <n v="1"/>
    <x v="1"/>
    <x v="1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  <x v="3"/>
    <x v="1"/>
    <x v="1"/>
  </r>
  <r>
    <n v="29"/>
    <x v="1"/>
    <s v="Travel_Rarely"/>
    <n v="1010"/>
    <x v="1"/>
    <x v="0"/>
    <n v="3"/>
    <s v="Life Sciences"/>
    <n v="1"/>
    <n v="1249"/>
    <n v="1"/>
    <s v="Female"/>
    <n v="97"/>
    <n v="3"/>
    <n v="1"/>
    <x v="1"/>
    <x v="0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  <x v="2"/>
    <x v="0"/>
    <x v="2"/>
  </r>
  <r>
    <n v="54"/>
    <x v="1"/>
    <s v="Travel_Rarely"/>
    <n v="685"/>
    <x v="1"/>
    <x v="3"/>
    <n v="3"/>
    <s v="Life Sciences"/>
    <n v="1"/>
    <n v="1250"/>
    <n v="4"/>
    <s v="Male"/>
    <n v="85"/>
    <n v="3"/>
    <n v="4"/>
    <x v="7"/>
    <x v="0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  <x v="1"/>
    <x v="2"/>
    <x v="0"/>
  </r>
  <r>
    <n v="31"/>
    <x v="1"/>
    <s v="Travel_Rarely"/>
    <n v="1332"/>
    <x v="1"/>
    <x v="13"/>
    <n v="2"/>
    <s v="Medical"/>
    <n v="1"/>
    <n v="1251"/>
    <n v="3"/>
    <s v="Male"/>
    <n v="80"/>
    <n v="3"/>
    <n v="2"/>
    <x v="4"/>
    <x v="3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  <x v="2"/>
    <x v="0"/>
    <x v="0"/>
  </r>
  <r>
    <n v="31"/>
    <x v="1"/>
    <s v="Travel_Rarely"/>
    <n v="1062"/>
    <x v="1"/>
    <x v="4"/>
    <n v="3"/>
    <s v="Medical"/>
    <n v="1"/>
    <n v="1252"/>
    <n v="3"/>
    <s v="Female"/>
    <n v="96"/>
    <n v="2"/>
    <n v="2"/>
    <x v="4"/>
    <x v="3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  <x v="2"/>
    <x v="0"/>
    <x v="0"/>
  </r>
  <r>
    <n v="59"/>
    <x v="1"/>
    <s v="Travel_Rarely"/>
    <n v="326"/>
    <x v="0"/>
    <x v="3"/>
    <n v="3"/>
    <s v="Life Sciences"/>
    <n v="1"/>
    <n v="1254"/>
    <n v="3"/>
    <s v="Female"/>
    <n v="48"/>
    <n v="2"/>
    <n v="2"/>
    <x v="0"/>
    <x v="0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  <x v="1"/>
    <x v="0"/>
    <x v="0"/>
  </r>
  <r>
    <n v="43"/>
    <x v="1"/>
    <s v="Travel_Rarely"/>
    <n v="920"/>
    <x v="1"/>
    <x v="3"/>
    <n v="3"/>
    <s v="Life Sciences"/>
    <n v="1"/>
    <n v="1255"/>
    <n v="3"/>
    <s v="Male"/>
    <n v="96"/>
    <n v="1"/>
    <n v="5"/>
    <x v="7"/>
    <x v="0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  <x v="0"/>
    <x v="2"/>
    <x v="0"/>
  </r>
  <r>
    <n v="49"/>
    <x v="1"/>
    <s v="Travel_Rarely"/>
    <n v="1098"/>
    <x v="1"/>
    <x v="18"/>
    <n v="2"/>
    <s v="Medical"/>
    <n v="1"/>
    <n v="1256"/>
    <n v="1"/>
    <s v="Male"/>
    <n v="85"/>
    <n v="2"/>
    <n v="5"/>
    <x v="5"/>
    <x v="2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  <x v="1"/>
    <x v="2"/>
    <x v="1"/>
  </r>
  <r>
    <n v="36"/>
    <x v="1"/>
    <s v="Travel_Frequently"/>
    <n v="469"/>
    <x v="1"/>
    <x v="3"/>
    <n v="3"/>
    <s v="Technical Degree"/>
    <n v="1"/>
    <n v="1257"/>
    <n v="3"/>
    <s v="Male"/>
    <n v="46"/>
    <n v="3"/>
    <n v="1"/>
    <x v="1"/>
    <x v="1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  <x v="0"/>
    <x v="0"/>
    <x v="3"/>
  </r>
  <r>
    <n v="48"/>
    <x v="1"/>
    <s v="Travel_Rarely"/>
    <n v="969"/>
    <x v="1"/>
    <x v="2"/>
    <n v="2"/>
    <s v="Technical Degree"/>
    <n v="1"/>
    <n v="1258"/>
    <n v="4"/>
    <s v="Male"/>
    <n v="76"/>
    <n v="4"/>
    <n v="1"/>
    <x v="2"/>
    <x v="1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  <x v="1"/>
    <x v="1"/>
    <x v="1"/>
  </r>
  <r>
    <n v="27"/>
    <x v="1"/>
    <s v="Travel_Rarely"/>
    <n v="1167"/>
    <x v="1"/>
    <x v="18"/>
    <n v="2"/>
    <s v="Life Sciences"/>
    <n v="1"/>
    <n v="1259"/>
    <n v="1"/>
    <s v="Male"/>
    <n v="76"/>
    <n v="3"/>
    <n v="1"/>
    <x v="1"/>
    <x v="2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  <x v="2"/>
    <x v="1"/>
    <x v="2"/>
  </r>
  <r>
    <n v="29"/>
    <x v="1"/>
    <s v="Travel_Rarely"/>
    <n v="1329"/>
    <x v="1"/>
    <x v="15"/>
    <n v="3"/>
    <s v="Life Sciences"/>
    <n v="1"/>
    <n v="1260"/>
    <n v="3"/>
    <s v="Male"/>
    <n v="82"/>
    <n v="3"/>
    <n v="2"/>
    <x v="4"/>
    <x v="0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  <x v="2"/>
    <x v="0"/>
    <x v="0"/>
  </r>
  <r>
    <n v="48"/>
    <x v="1"/>
    <s v="Travel_Rarely"/>
    <n v="715"/>
    <x v="1"/>
    <x v="0"/>
    <n v="3"/>
    <s v="Life Sciences"/>
    <n v="1"/>
    <n v="1263"/>
    <n v="4"/>
    <s v="Male"/>
    <n v="76"/>
    <n v="2"/>
    <n v="5"/>
    <x v="7"/>
    <x v="0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  <x v="1"/>
    <x v="2"/>
    <x v="1"/>
  </r>
  <r>
    <n v="29"/>
    <x v="1"/>
    <s v="Travel_Rarely"/>
    <n v="694"/>
    <x v="1"/>
    <x v="0"/>
    <n v="3"/>
    <s v="Life Sciences"/>
    <n v="1"/>
    <n v="1264"/>
    <n v="4"/>
    <s v="Female"/>
    <n v="87"/>
    <n v="2"/>
    <n v="4"/>
    <x v="7"/>
    <x v="0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  <x v="2"/>
    <x v="2"/>
    <x v="0"/>
  </r>
  <r>
    <n v="34"/>
    <x v="1"/>
    <s v="Travel_Rarely"/>
    <n v="1320"/>
    <x v="1"/>
    <x v="25"/>
    <n v="3"/>
    <s v="Technical Degree"/>
    <n v="1"/>
    <n v="1265"/>
    <n v="3"/>
    <s v="Female"/>
    <n v="89"/>
    <n v="4"/>
    <n v="1"/>
    <x v="1"/>
    <x v="2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  <x v="2"/>
    <x v="1"/>
    <x v="1"/>
  </r>
  <r>
    <n v="44"/>
    <x v="1"/>
    <s v="Travel_Rarely"/>
    <n v="1099"/>
    <x v="0"/>
    <x v="12"/>
    <n v="3"/>
    <s v="Marketing"/>
    <n v="1"/>
    <n v="1267"/>
    <n v="2"/>
    <s v="Male"/>
    <n v="88"/>
    <n v="3"/>
    <n v="5"/>
    <x v="5"/>
    <x v="1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  <x v="0"/>
    <x v="2"/>
    <x v="3"/>
  </r>
  <r>
    <n v="33"/>
    <x v="1"/>
    <s v="Travel_Rarely"/>
    <n v="536"/>
    <x v="0"/>
    <x v="17"/>
    <n v="5"/>
    <s v="Marketing"/>
    <n v="1"/>
    <n v="1268"/>
    <n v="4"/>
    <s v="Male"/>
    <n v="82"/>
    <n v="4"/>
    <n v="3"/>
    <x v="0"/>
    <x v="2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  <x v="2"/>
    <x v="2"/>
    <x v="0"/>
  </r>
  <r>
    <n v="19"/>
    <x v="1"/>
    <s v="Travel_Rarely"/>
    <n v="265"/>
    <x v="1"/>
    <x v="19"/>
    <n v="3"/>
    <s v="Life Sciences"/>
    <n v="1"/>
    <n v="1269"/>
    <n v="2"/>
    <s v="Female"/>
    <n v="57"/>
    <n v="4"/>
    <n v="1"/>
    <x v="1"/>
    <x v="0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  <x v="3"/>
    <x v="1"/>
    <x v="1"/>
  </r>
  <r>
    <n v="23"/>
    <x v="1"/>
    <s v="Travel_Rarely"/>
    <n v="373"/>
    <x v="1"/>
    <x v="0"/>
    <n v="2"/>
    <s v="Life Sciences"/>
    <n v="1"/>
    <n v="1270"/>
    <n v="4"/>
    <s v="Male"/>
    <n v="47"/>
    <n v="3"/>
    <n v="1"/>
    <x v="1"/>
    <x v="2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  <x v="3"/>
    <x v="1"/>
    <x v="1"/>
  </r>
  <r>
    <n v="25"/>
    <x v="0"/>
    <s v="Travel_Frequently"/>
    <n v="599"/>
    <x v="0"/>
    <x v="4"/>
    <n v="1"/>
    <s v="Life Sciences"/>
    <n v="1"/>
    <n v="1273"/>
    <n v="3"/>
    <s v="Male"/>
    <n v="73"/>
    <n v="1"/>
    <n v="1"/>
    <x v="6"/>
    <x v="0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  <x v="3"/>
    <x v="1"/>
    <x v="1"/>
  </r>
  <r>
    <n v="26"/>
    <x v="1"/>
    <s v="Travel_Rarely"/>
    <n v="583"/>
    <x v="1"/>
    <x v="18"/>
    <n v="2"/>
    <s v="Life Sciences"/>
    <n v="1"/>
    <n v="1275"/>
    <n v="3"/>
    <s v="Male"/>
    <n v="53"/>
    <n v="3"/>
    <n v="1"/>
    <x v="1"/>
    <x v="0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  <x v="2"/>
    <x v="1"/>
    <x v="0"/>
  </r>
  <r>
    <n v="45"/>
    <x v="0"/>
    <s v="Travel_Rarely"/>
    <n v="1449"/>
    <x v="0"/>
    <x v="2"/>
    <n v="3"/>
    <s v="Marketing"/>
    <n v="1"/>
    <n v="1277"/>
    <n v="1"/>
    <s v="Female"/>
    <n v="94"/>
    <n v="1"/>
    <n v="5"/>
    <x v="5"/>
    <x v="1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  <x v="0"/>
    <x v="2"/>
    <x v="3"/>
  </r>
  <r>
    <n v="55"/>
    <x v="1"/>
    <s v="Non-Travel"/>
    <n v="177"/>
    <x v="1"/>
    <x v="1"/>
    <n v="1"/>
    <s v="Medical"/>
    <n v="1"/>
    <n v="1278"/>
    <n v="4"/>
    <s v="Male"/>
    <n v="37"/>
    <n v="2"/>
    <n v="4"/>
    <x v="4"/>
    <x v="1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  <x v="1"/>
    <x v="2"/>
    <x v="3"/>
  </r>
  <r>
    <n v="21"/>
    <x v="0"/>
    <s v="Travel_Frequently"/>
    <n v="251"/>
    <x v="1"/>
    <x v="17"/>
    <n v="2"/>
    <s v="Life Sciences"/>
    <n v="1"/>
    <n v="1279"/>
    <n v="1"/>
    <s v="Female"/>
    <n v="45"/>
    <n v="2"/>
    <n v="1"/>
    <x v="2"/>
    <x v="2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  <x v="3"/>
    <x v="1"/>
    <x v="1"/>
  </r>
  <r>
    <n v="46"/>
    <x v="1"/>
    <s v="Travel_Rarely"/>
    <n v="168"/>
    <x v="0"/>
    <x v="18"/>
    <n v="2"/>
    <s v="Marketing"/>
    <n v="1"/>
    <n v="1280"/>
    <n v="4"/>
    <s v="Female"/>
    <n v="33"/>
    <n v="2"/>
    <n v="5"/>
    <x v="5"/>
    <x v="1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  <x v="1"/>
    <x v="2"/>
    <x v="3"/>
  </r>
  <r>
    <n v="34"/>
    <x v="1"/>
    <s v="Travel_Rarely"/>
    <n v="131"/>
    <x v="0"/>
    <x v="2"/>
    <n v="3"/>
    <s v="Marketing"/>
    <n v="1"/>
    <n v="1281"/>
    <n v="3"/>
    <s v="Female"/>
    <n v="86"/>
    <n v="3"/>
    <n v="2"/>
    <x v="0"/>
    <x v="3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  <x v="2"/>
    <x v="0"/>
    <x v="2"/>
  </r>
  <r>
    <n v="51"/>
    <x v="1"/>
    <s v="Travel_Frequently"/>
    <n v="237"/>
    <x v="0"/>
    <x v="14"/>
    <n v="3"/>
    <s v="Life Sciences"/>
    <n v="1"/>
    <n v="1282"/>
    <n v="4"/>
    <s v="Male"/>
    <n v="83"/>
    <n v="3"/>
    <n v="5"/>
    <x v="5"/>
    <x v="1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  <x v="1"/>
    <x v="2"/>
    <x v="3"/>
  </r>
  <r>
    <n v="59"/>
    <x v="1"/>
    <s v="Travel_Rarely"/>
    <n v="1429"/>
    <x v="1"/>
    <x v="21"/>
    <n v="4"/>
    <s v="Medical"/>
    <n v="1"/>
    <n v="1283"/>
    <n v="4"/>
    <s v="Male"/>
    <n v="67"/>
    <n v="3"/>
    <n v="3"/>
    <x v="3"/>
    <x v="0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  <x v="1"/>
    <x v="2"/>
    <x v="0"/>
  </r>
  <r>
    <n v="34"/>
    <x v="1"/>
    <s v="Travel_Frequently"/>
    <n v="135"/>
    <x v="1"/>
    <x v="10"/>
    <n v="3"/>
    <s v="Medical"/>
    <n v="1"/>
    <n v="1285"/>
    <n v="3"/>
    <s v="Female"/>
    <n v="46"/>
    <n v="3"/>
    <n v="2"/>
    <x v="2"/>
    <x v="1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  <x v="2"/>
    <x v="0"/>
    <x v="3"/>
  </r>
  <r>
    <n v="28"/>
    <x v="1"/>
    <s v="Travel_Frequently"/>
    <n v="791"/>
    <x v="1"/>
    <x v="0"/>
    <n v="4"/>
    <s v="Medical"/>
    <n v="1"/>
    <n v="1286"/>
    <n v="4"/>
    <s v="Male"/>
    <n v="44"/>
    <n v="3"/>
    <n v="1"/>
    <x v="2"/>
    <x v="2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  <x v="2"/>
    <x v="1"/>
    <x v="2"/>
  </r>
  <r>
    <n v="44"/>
    <x v="1"/>
    <s v="Travel_Rarely"/>
    <n v="1199"/>
    <x v="1"/>
    <x v="18"/>
    <n v="2"/>
    <s v="Life Sciences"/>
    <n v="1"/>
    <n v="1288"/>
    <n v="3"/>
    <s v="Male"/>
    <n v="92"/>
    <n v="4"/>
    <n v="5"/>
    <x v="5"/>
    <x v="3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  <x v="0"/>
    <x v="2"/>
    <x v="3"/>
  </r>
  <r>
    <n v="34"/>
    <x v="1"/>
    <s v="Travel_Frequently"/>
    <n v="648"/>
    <x v="2"/>
    <x v="13"/>
    <n v="3"/>
    <s v="Life Sciences"/>
    <n v="1"/>
    <n v="1289"/>
    <n v="3"/>
    <s v="Male"/>
    <n v="56"/>
    <n v="2"/>
    <n v="2"/>
    <x v="8"/>
    <x v="1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  <x v="2"/>
    <x v="0"/>
    <x v="0"/>
  </r>
  <r>
    <n v="35"/>
    <x v="1"/>
    <s v="Travel_Rarely"/>
    <n v="735"/>
    <x v="1"/>
    <x v="16"/>
    <n v="1"/>
    <s v="Life Sciences"/>
    <n v="1"/>
    <n v="1291"/>
    <n v="3"/>
    <s v="Male"/>
    <n v="66"/>
    <n v="3"/>
    <n v="1"/>
    <x v="1"/>
    <x v="2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  <x v="2"/>
    <x v="0"/>
    <x v="2"/>
  </r>
  <r>
    <n v="42"/>
    <x v="1"/>
    <s v="Travel_Rarely"/>
    <n v="603"/>
    <x v="1"/>
    <x v="15"/>
    <n v="4"/>
    <s v="Medical"/>
    <n v="1"/>
    <n v="1292"/>
    <n v="2"/>
    <s v="Female"/>
    <n v="78"/>
    <n v="4"/>
    <n v="2"/>
    <x v="1"/>
    <x v="1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  <x v="0"/>
    <x v="1"/>
    <x v="1"/>
  </r>
  <r>
    <n v="43"/>
    <x v="1"/>
    <s v="Travel_Rarely"/>
    <n v="531"/>
    <x v="0"/>
    <x v="18"/>
    <n v="4"/>
    <s v="Marketing"/>
    <n v="1"/>
    <n v="1293"/>
    <n v="4"/>
    <s v="Female"/>
    <n v="56"/>
    <n v="2"/>
    <n v="3"/>
    <x v="0"/>
    <x v="0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  <x v="0"/>
    <x v="2"/>
    <x v="3"/>
  </r>
  <r>
    <n v="36"/>
    <x v="1"/>
    <s v="Travel_Rarely"/>
    <n v="429"/>
    <x v="1"/>
    <x v="2"/>
    <n v="4"/>
    <s v="Life Sciences"/>
    <n v="1"/>
    <n v="1294"/>
    <n v="3"/>
    <s v="Female"/>
    <n v="53"/>
    <n v="3"/>
    <n v="2"/>
    <x v="3"/>
    <x v="1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  <x v="0"/>
    <x v="0"/>
    <x v="3"/>
  </r>
  <r>
    <n v="44"/>
    <x v="0"/>
    <s v="Travel_Rarely"/>
    <n v="621"/>
    <x v="1"/>
    <x v="8"/>
    <n v="3"/>
    <s v="Medical"/>
    <n v="1"/>
    <n v="1295"/>
    <n v="1"/>
    <s v="Female"/>
    <n v="73"/>
    <n v="3"/>
    <n v="3"/>
    <x v="4"/>
    <x v="0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  <x v="0"/>
    <x v="2"/>
    <x v="0"/>
  </r>
  <r>
    <n v="28"/>
    <x v="1"/>
    <s v="Travel_Frequently"/>
    <n v="193"/>
    <x v="1"/>
    <x v="2"/>
    <n v="3"/>
    <s v="Life Sciences"/>
    <n v="1"/>
    <n v="1296"/>
    <n v="4"/>
    <s v="Male"/>
    <n v="52"/>
    <n v="2"/>
    <n v="1"/>
    <x v="2"/>
    <x v="0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  <x v="2"/>
    <x v="0"/>
    <x v="1"/>
  </r>
  <r>
    <n v="51"/>
    <x v="1"/>
    <s v="Travel_Frequently"/>
    <n v="968"/>
    <x v="1"/>
    <x v="16"/>
    <n v="2"/>
    <s v="Medical"/>
    <n v="1"/>
    <n v="1297"/>
    <n v="2"/>
    <s v="Female"/>
    <n v="40"/>
    <n v="2"/>
    <n v="1"/>
    <x v="2"/>
    <x v="2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  <x v="1"/>
    <x v="1"/>
    <x v="0"/>
  </r>
  <r>
    <n v="30"/>
    <x v="1"/>
    <s v="Non-Travel"/>
    <n v="879"/>
    <x v="1"/>
    <x v="14"/>
    <n v="2"/>
    <s v="Medical"/>
    <n v="1"/>
    <n v="1298"/>
    <n v="3"/>
    <s v="Female"/>
    <n v="72"/>
    <n v="3"/>
    <n v="2"/>
    <x v="3"/>
    <x v="2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  <x v="2"/>
    <x v="0"/>
    <x v="0"/>
  </r>
  <r>
    <n v="29"/>
    <x v="0"/>
    <s v="Travel_Rarely"/>
    <n v="806"/>
    <x v="1"/>
    <x v="15"/>
    <n v="3"/>
    <s v="Technical Degree"/>
    <n v="1"/>
    <n v="1299"/>
    <n v="2"/>
    <s v="Female"/>
    <n v="39"/>
    <n v="3"/>
    <n v="1"/>
    <x v="2"/>
    <x v="2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  <x v="2"/>
    <x v="0"/>
    <x v="0"/>
  </r>
  <r>
    <n v="28"/>
    <x v="1"/>
    <s v="Travel_Rarely"/>
    <n v="640"/>
    <x v="1"/>
    <x v="0"/>
    <n v="3"/>
    <s v="Technical Degree"/>
    <n v="1"/>
    <n v="1301"/>
    <n v="4"/>
    <s v="Male"/>
    <n v="84"/>
    <n v="3"/>
    <n v="1"/>
    <x v="1"/>
    <x v="3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  <x v="2"/>
    <x v="1"/>
    <x v="2"/>
  </r>
  <r>
    <n v="25"/>
    <x v="1"/>
    <s v="Travel_Rarely"/>
    <n v="266"/>
    <x v="1"/>
    <x v="0"/>
    <n v="3"/>
    <s v="Medical"/>
    <n v="1"/>
    <n v="1303"/>
    <n v="4"/>
    <s v="Female"/>
    <n v="40"/>
    <n v="3"/>
    <n v="1"/>
    <x v="1"/>
    <x v="1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  <x v="3"/>
    <x v="1"/>
    <x v="1"/>
  </r>
  <r>
    <n v="32"/>
    <x v="1"/>
    <s v="Travel_Rarely"/>
    <n v="604"/>
    <x v="0"/>
    <x v="1"/>
    <n v="3"/>
    <s v="Medical"/>
    <n v="1"/>
    <n v="1304"/>
    <n v="3"/>
    <s v="Male"/>
    <n v="56"/>
    <n v="4"/>
    <n v="2"/>
    <x v="0"/>
    <x v="0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  <x v="2"/>
    <x v="0"/>
    <x v="0"/>
  </r>
  <r>
    <n v="45"/>
    <x v="1"/>
    <s v="Travel_Frequently"/>
    <n v="364"/>
    <x v="1"/>
    <x v="19"/>
    <n v="3"/>
    <s v="Medical"/>
    <n v="1"/>
    <n v="1306"/>
    <n v="2"/>
    <s v="Female"/>
    <n v="83"/>
    <n v="3"/>
    <n v="5"/>
    <x v="5"/>
    <x v="1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  <x v="0"/>
    <x v="2"/>
    <x v="1"/>
  </r>
  <r>
    <n v="39"/>
    <x v="1"/>
    <s v="Travel_Rarely"/>
    <n v="412"/>
    <x v="1"/>
    <x v="28"/>
    <n v="4"/>
    <s v="Medical"/>
    <n v="1"/>
    <n v="1307"/>
    <n v="3"/>
    <s v="Female"/>
    <n v="94"/>
    <n v="2"/>
    <n v="4"/>
    <x v="5"/>
    <x v="1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  <x v="0"/>
    <x v="2"/>
    <x v="3"/>
  </r>
  <r>
    <n v="58"/>
    <x v="1"/>
    <s v="Travel_Rarely"/>
    <n v="848"/>
    <x v="1"/>
    <x v="5"/>
    <n v="4"/>
    <s v="Life Sciences"/>
    <n v="1"/>
    <n v="1308"/>
    <n v="1"/>
    <s v="Male"/>
    <n v="88"/>
    <n v="3"/>
    <n v="1"/>
    <x v="1"/>
    <x v="2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  <x v="1"/>
    <x v="1"/>
    <x v="1"/>
  </r>
  <r>
    <n v="32"/>
    <x v="0"/>
    <s v="Travel_Rarely"/>
    <n v="1089"/>
    <x v="1"/>
    <x v="15"/>
    <n v="2"/>
    <s v="Life Sciences"/>
    <n v="1"/>
    <n v="1309"/>
    <n v="4"/>
    <s v="Male"/>
    <n v="79"/>
    <n v="3"/>
    <n v="2"/>
    <x v="2"/>
    <x v="2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  <x v="2"/>
    <x v="0"/>
    <x v="0"/>
  </r>
  <r>
    <n v="39"/>
    <x v="0"/>
    <s v="Travel_Rarely"/>
    <n v="360"/>
    <x v="1"/>
    <x v="5"/>
    <n v="3"/>
    <s v="Medical"/>
    <n v="1"/>
    <n v="1310"/>
    <n v="3"/>
    <s v="Male"/>
    <n v="93"/>
    <n v="3"/>
    <n v="1"/>
    <x v="1"/>
    <x v="3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  <x v="0"/>
    <x v="0"/>
    <x v="2"/>
  </r>
  <r>
    <n v="30"/>
    <x v="1"/>
    <s v="Travel_Rarely"/>
    <n v="1138"/>
    <x v="1"/>
    <x v="16"/>
    <n v="3"/>
    <s v="Technical Degree"/>
    <n v="1"/>
    <n v="1311"/>
    <n v="1"/>
    <s v="Female"/>
    <n v="48"/>
    <n v="2"/>
    <n v="2"/>
    <x v="2"/>
    <x v="0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  <x v="2"/>
    <x v="0"/>
    <x v="0"/>
  </r>
  <r>
    <n v="36"/>
    <x v="1"/>
    <s v="Travel_Rarely"/>
    <n v="325"/>
    <x v="1"/>
    <x v="17"/>
    <n v="4"/>
    <s v="Technical Degree"/>
    <n v="1"/>
    <n v="1312"/>
    <n v="4"/>
    <s v="Female"/>
    <n v="63"/>
    <n v="3"/>
    <n v="3"/>
    <x v="4"/>
    <x v="2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  <x v="0"/>
    <x v="2"/>
    <x v="0"/>
  </r>
  <r>
    <n v="46"/>
    <x v="1"/>
    <s v="Travel_Rarely"/>
    <n v="991"/>
    <x v="2"/>
    <x v="0"/>
    <n v="2"/>
    <s v="Life Sciences"/>
    <n v="1"/>
    <n v="1314"/>
    <n v="4"/>
    <s v="Female"/>
    <n v="44"/>
    <n v="3"/>
    <n v="1"/>
    <x v="8"/>
    <x v="3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  <x v="1"/>
    <x v="0"/>
    <x v="0"/>
  </r>
  <r>
    <n v="28"/>
    <x v="1"/>
    <s v="Non-Travel"/>
    <n v="1476"/>
    <x v="1"/>
    <x v="0"/>
    <n v="3"/>
    <s v="Life Sciences"/>
    <n v="1"/>
    <n v="1315"/>
    <n v="3"/>
    <s v="Female"/>
    <n v="55"/>
    <n v="1"/>
    <n v="2"/>
    <x v="2"/>
    <x v="0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  <x v="2"/>
    <x v="0"/>
    <x v="0"/>
  </r>
  <r>
    <n v="50"/>
    <x v="1"/>
    <s v="Travel_Rarely"/>
    <n v="1322"/>
    <x v="1"/>
    <x v="26"/>
    <n v="3"/>
    <s v="Life Sciences"/>
    <n v="1"/>
    <n v="1317"/>
    <n v="4"/>
    <s v="Female"/>
    <n v="43"/>
    <n v="3"/>
    <n v="4"/>
    <x v="7"/>
    <x v="3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  <x v="1"/>
    <x v="2"/>
    <x v="2"/>
  </r>
  <r>
    <n v="40"/>
    <x v="0"/>
    <s v="Travel_Rarely"/>
    <n v="299"/>
    <x v="0"/>
    <x v="19"/>
    <n v="4"/>
    <s v="Marketing"/>
    <n v="1"/>
    <n v="1318"/>
    <n v="4"/>
    <s v="Male"/>
    <n v="57"/>
    <n v="2"/>
    <n v="3"/>
    <x v="0"/>
    <x v="1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  <x v="0"/>
    <x v="2"/>
    <x v="2"/>
  </r>
  <r>
    <n v="52"/>
    <x v="0"/>
    <s v="Travel_Rarely"/>
    <n v="1030"/>
    <x v="0"/>
    <x v="12"/>
    <n v="3"/>
    <s v="Life Sciences"/>
    <n v="1"/>
    <n v="1319"/>
    <n v="2"/>
    <s v="Male"/>
    <n v="64"/>
    <n v="3"/>
    <n v="3"/>
    <x v="0"/>
    <x v="1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  <x v="1"/>
    <x v="2"/>
    <x v="0"/>
  </r>
  <r>
    <n v="30"/>
    <x v="1"/>
    <s v="Travel_Rarely"/>
    <n v="634"/>
    <x v="1"/>
    <x v="27"/>
    <n v="4"/>
    <s v="Medical"/>
    <n v="1"/>
    <n v="1321"/>
    <n v="2"/>
    <s v="Female"/>
    <n v="95"/>
    <n v="3"/>
    <n v="3"/>
    <x v="5"/>
    <x v="3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  <x v="2"/>
    <x v="2"/>
    <x v="0"/>
  </r>
  <r>
    <n v="39"/>
    <x v="1"/>
    <s v="Travel_Rarely"/>
    <n v="524"/>
    <x v="1"/>
    <x v="21"/>
    <n v="2"/>
    <s v="Life Sciences"/>
    <n v="1"/>
    <n v="1322"/>
    <n v="1"/>
    <s v="Male"/>
    <n v="32"/>
    <n v="3"/>
    <n v="2"/>
    <x v="3"/>
    <x v="2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  <x v="0"/>
    <x v="0"/>
    <x v="0"/>
  </r>
  <r>
    <n v="31"/>
    <x v="1"/>
    <s v="Non-Travel"/>
    <n v="587"/>
    <x v="0"/>
    <x v="2"/>
    <n v="4"/>
    <s v="Life Sciences"/>
    <n v="1"/>
    <n v="1324"/>
    <n v="4"/>
    <s v="Female"/>
    <n v="57"/>
    <n v="3"/>
    <n v="3"/>
    <x v="0"/>
    <x v="2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  <x v="2"/>
    <x v="2"/>
    <x v="0"/>
  </r>
  <r>
    <n v="41"/>
    <x v="1"/>
    <s v="Non-Travel"/>
    <n v="256"/>
    <x v="0"/>
    <x v="17"/>
    <n v="2"/>
    <s v="Medical"/>
    <n v="1"/>
    <n v="1329"/>
    <n v="3"/>
    <s v="Male"/>
    <n v="40"/>
    <n v="1"/>
    <n v="2"/>
    <x v="0"/>
    <x v="1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  <x v="0"/>
    <x v="0"/>
    <x v="3"/>
  </r>
  <r>
    <n v="31"/>
    <x v="0"/>
    <s v="Travel_Frequently"/>
    <n v="1060"/>
    <x v="0"/>
    <x v="0"/>
    <n v="3"/>
    <s v="Life Sciences"/>
    <n v="1"/>
    <n v="1331"/>
    <n v="4"/>
    <s v="Female"/>
    <n v="54"/>
    <n v="3"/>
    <n v="1"/>
    <x v="6"/>
    <x v="1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  <x v="2"/>
    <x v="1"/>
    <x v="2"/>
  </r>
  <r>
    <n v="44"/>
    <x v="0"/>
    <s v="Travel_Rarely"/>
    <n v="935"/>
    <x v="1"/>
    <x v="3"/>
    <n v="3"/>
    <s v="Life Sciences"/>
    <n v="1"/>
    <n v="1333"/>
    <n v="1"/>
    <s v="Male"/>
    <n v="89"/>
    <n v="3"/>
    <n v="1"/>
    <x v="2"/>
    <x v="3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  <x v="0"/>
    <x v="1"/>
    <x v="2"/>
  </r>
  <r>
    <n v="42"/>
    <x v="1"/>
    <s v="Non-Travel"/>
    <n v="495"/>
    <x v="1"/>
    <x v="2"/>
    <n v="1"/>
    <s v="Life Sciences"/>
    <n v="1"/>
    <n v="1334"/>
    <n v="3"/>
    <s v="Male"/>
    <n v="37"/>
    <n v="3"/>
    <n v="4"/>
    <x v="5"/>
    <x v="2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  <x v="0"/>
    <x v="2"/>
    <x v="3"/>
  </r>
  <r>
    <n v="55"/>
    <x v="1"/>
    <s v="Travel_Rarely"/>
    <n v="282"/>
    <x v="1"/>
    <x v="2"/>
    <n v="2"/>
    <s v="Medical"/>
    <n v="1"/>
    <n v="1336"/>
    <n v="4"/>
    <s v="Female"/>
    <n v="58"/>
    <n v="1"/>
    <n v="5"/>
    <x v="5"/>
    <x v="2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  <x v="1"/>
    <x v="2"/>
    <x v="3"/>
  </r>
  <r>
    <n v="56"/>
    <x v="1"/>
    <s v="Travel_Rarely"/>
    <n v="206"/>
    <x v="2"/>
    <x v="1"/>
    <n v="4"/>
    <s v="Life Sciences"/>
    <n v="1"/>
    <n v="1338"/>
    <n v="4"/>
    <s v="Male"/>
    <n v="99"/>
    <n v="3"/>
    <n v="5"/>
    <x v="5"/>
    <x v="1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  <x v="1"/>
    <x v="2"/>
    <x v="0"/>
  </r>
  <r>
    <n v="40"/>
    <x v="1"/>
    <s v="Non-Travel"/>
    <n v="458"/>
    <x v="1"/>
    <x v="7"/>
    <n v="2"/>
    <s v="Life Sciences"/>
    <n v="1"/>
    <n v="1340"/>
    <n v="3"/>
    <s v="Male"/>
    <n v="74"/>
    <n v="3"/>
    <n v="1"/>
    <x v="1"/>
    <x v="2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  <x v="0"/>
    <x v="0"/>
    <x v="2"/>
  </r>
  <r>
    <n v="34"/>
    <x v="1"/>
    <s v="Travel_Rarely"/>
    <n v="943"/>
    <x v="1"/>
    <x v="14"/>
    <n v="3"/>
    <s v="Life Sciences"/>
    <n v="1"/>
    <n v="1344"/>
    <n v="4"/>
    <s v="Male"/>
    <n v="86"/>
    <n v="3"/>
    <n v="3"/>
    <x v="4"/>
    <x v="0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  <x v="2"/>
    <x v="2"/>
    <x v="0"/>
  </r>
  <r>
    <n v="40"/>
    <x v="1"/>
    <s v="Travel_Rarely"/>
    <n v="523"/>
    <x v="1"/>
    <x v="2"/>
    <n v="3"/>
    <s v="Life Sciences"/>
    <n v="1"/>
    <n v="1346"/>
    <n v="3"/>
    <s v="Male"/>
    <n v="98"/>
    <n v="3"/>
    <n v="2"/>
    <x v="1"/>
    <x v="0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  <x v="0"/>
    <x v="0"/>
    <x v="0"/>
  </r>
  <r>
    <n v="41"/>
    <x v="1"/>
    <s v="Travel_Frequently"/>
    <n v="1018"/>
    <x v="0"/>
    <x v="0"/>
    <n v="3"/>
    <s v="Marketing"/>
    <n v="1"/>
    <n v="1349"/>
    <n v="3"/>
    <s v="Female"/>
    <n v="66"/>
    <n v="3"/>
    <n v="2"/>
    <x v="0"/>
    <x v="3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  <x v="0"/>
    <x v="0"/>
    <x v="0"/>
  </r>
  <r>
    <n v="35"/>
    <x v="1"/>
    <s v="Travel_Frequently"/>
    <n v="482"/>
    <x v="1"/>
    <x v="18"/>
    <n v="4"/>
    <s v="Life Sciences"/>
    <n v="1"/>
    <n v="1350"/>
    <n v="3"/>
    <s v="Male"/>
    <n v="87"/>
    <n v="3"/>
    <n v="2"/>
    <x v="1"/>
    <x v="2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  <x v="2"/>
    <x v="0"/>
    <x v="0"/>
  </r>
  <r>
    <n v="51"/>
    <x v="1"/>
    <s v="Travel_Rarely"/>
    <n v="770"/>
    <x v="2"/>
    <x v="12"/>
    <n v="3"/>
    <s v="Life Sciences"/>
    <n v="1"/>
    <n v="1352"/>
    <n v="3"/>
    <s v="Male"/>
    <n v="84"/>
    <n v="3"/>
    <n v="4"/>
    <x v="5"/>
    <x v="1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  <x v="1"/>
    <x v="2"/>
    <x v="3"/>
  </r>
  <r>
    <n v="38"/>
    <x v="1"/>
    <s v="Travel_Rarely"/>
    <n v="1009"/>
    <x v="0"/>
    <x v="2"/>
    <n v="2"/>
    <s v="Life Sciences"/>
    <n v="1"/>
    <n v="1355"/>
    <n v="2"/>
    <s v="Female"/>
    <n v="31"/>
    <n v="3"/>
    <n v="2"/>
    <x v="0"/>
    <x v="3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  <x v="0"/>
    <x v="0"/>
    <x v="0"/>
  </r>
  <r>
    <n v="34"/>
    <x v="1"/>
    <s v="Travel_Rarely"/>
    <n v="507"/>
    <x v="0"/>
    <x v="8"/>
    <n v="2"/>
    <s v="Medical"/>
    <n v="1"/>
    <n v="1356"/>
    <n v="3"/>
    <s v="Female"/>
    <n v="66"/>
    <n v="3"/>
    <n v="2"/>
    <x v="0"/>
    <x v="3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  <x v="2"/>
    <x v="0"/>
    <x v="0"/>
  </r>
  <r>
    <n v="25"/>
    <x v="1"/>
    <s v="Travel_Rarely"/>
    <n v="882"/>
    <x v="1"/>
    <x v="10"/>
    <n v="1"/>
    <s v="Medical"/>
    <n v="1"/>
    <n v="1358"/>
    <n v="4"/>
    <s v="Male"/>
    <n v="67"/>
    <n v="3"/>
    <n v="1"/>
    <x v="2"/>
    <x v="0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  <x v="3"/>
    <x v="0"/>
    <x v="2"/>
  </r>
  <r>
    <n v="58"/>
    <x v="0"/>
    <s v="Travel_Rarely"/>
    <n v="601"/>
    <x v="1"/>
    <x v="15"/>
    <n v="4"/>
    <s v="Medical"/>
    <n v="1"/>
    <n v="1360"/>
    <n v="3"/>
    <s v="Female"/>
    <n v="53"/>
    <n v="2"/>
    <n v="3"/>
    <x v="3"/>
    <x v="3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  <x v="1"/>
    <x v="2"/>
    <x v="0"/>
  </r>
  <r>
    <n v="40"/>
    <x v="1"/>
    <s v="Travel_Rarely"/>
    <n v="329"/>
    <x v="1"/>
    <x v="0"/>
    <n v="4"/>
    <s v="Life Sciences"/>
    <n v="1"/>
    <n v="1361"/>
    <n v="2"/>
    <s v="Male"/>
    <n v="88"/>
    <n v="3"/>
    <n v="1"/>
    <x v="2"/>
    <x v="1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  <x v="0"/>
    <x v="1"/>
    <x v="2"/>
  </r>
  <r>
    <n v="36"/>
    <x v="1"/>
    <s v="Travel_Frequently"/>
    <n v="607"/>
    <x v="0"/>
    <x v="15"/>
    <n v="3"/>
    <s v="Marketing"/>
    <n v="1"/>
    <n v="1362"/>
    <n v="1"/>
    <s v="Female"/>
    <n v="83"/>
    <n v="4"/>
    <n v="2"/>
    <x v="0"/>
    <x v="3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  <x v="0"/>
    <x v="0"/>
    <x v="3"/>
  </r>
  <r>
    <n v="48"/>
    <x v="1"/>
    <s v="Travel_Rarely"/>
    <n v="855"/>
    <x v="1"/>
    <x v="18"/>
    <n v="3"/>
    <s v="Life Sciences"/>
    <n v="1"/>
    <n v="1363"/>
    <n v="4"/>
    <s v="Male"/>
    <n v="54"/>
    <n v="3"/>
    <n v="3"/>
    <x v="3"/>
    <x v="0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  <x v="1"/>
    <x v="2"/>
    <x v="0"/>
  </r>
  <r>
    <n v="27"/>
    <x v="1"/>
    <s v="Travel_Rarely"/>
    <n v="1291"/>
    <x v="0"/>
    <x v="13"/>
    <n v="3"/>
    <s v="Medical"/>
    <n v="1"/>
    <n v="1364"/>
    <n v="3"/>
    <s v="Female"/>
    <n v="98"/>
    <n v="4"/>
    <n v="1"/>
    <x v="6"/>
    <x v="0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  <x v="2"/>
    <x v="1"/>
    <x v="1"/>
  </r>
  <r>
    <n v="51"/>
    <x v="1"/>
    <s v="Travel_Rarely"/>
    <n v="1405"/>
    <x v="1"/>
    <x v="13"/>
    <n v="2"/>
    <s v="Technical Degree"/>
    <n v="1"/>
    <n v="1367"/>
    <n v="4"/>
    <s v="Female"/>
    <n v="82"/>
    <n v="2"/>
    <n v="4"/>
    <x v="3"/>
    <x v="1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  <x v="1"/>
    <x v="2"/>
    <x v="2"/>
  </r>
  <r>
    <n v="18"/>
    <x v="1"/>
    <s v="Non-Travel"/>
    <n v="1124"/>
    <x v="1"/>
    <x v="0"/>
    <n v="3"/>
    <s v="Life Sciences"/>
    <n v="1"/>
    <n v="1368"/>
    <n v="4"/>
    <s v="Female"/>
    <n v="97"/>
    <n v="3"/>
    <n v="1"/>
    <x v="2"/>
    <x v="0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  <x v="3"/>
    <x v="1"/>
    <x v="1"/>
  </r>
  <r>
    <n v="35"/>
    <x v="1"/>
    <s v="Travel_Rarely"/>
    <n v="817"/>
    <x v="1"/>
    <x v="0"/>
    <n v="3"/>
    <s v="Medical"/>
    <n v="1"/>
    <n v="1369"/>
    <n v="4"/>
    <s v="Female"/>
    <n v="60"/>
    <n v="2"/>
    <n v="2"/>
    <x v="2"/>
    <x v="0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  <x v="2"/>
    <x v="0"/>
    <x v="0"/>
  </r>
  <r>
    <n v="27"/>
    <x v="1"/>
    <s v="Travel_Frequently"/>
    <n v="793"/>
    <x v="0"/>
    <x v="2"/>
    <n v="1"/>
    <s v="Life Sciences"/>
    <n v="1"/>
    <n v="1371"/>
    <n v="4"/>
    <s v="Male"/>
    <n v="43"/>
    <n v="1"/>
    <n v="2"/>
    <x v="0"/>
    <x v="0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  <x v="2"/>
    <x v="0"/>
    <x v="0"/>
  </r>
  <r>
    <n v="55"/>
    <x v="0"/>
    <s v="Travel_Rarely"/>
    <n v="267"/>
    <x v="0"/>
    <x v="28"/>
    <n v="4"/>
    <s v="Marketing"/>
    <n v="1"/>
    <n v="1372"/>
    <n v="1"/>
    <s v="Male"/>
    <n v="85"/>
    <n v="4"/>
    <n v="4"/>
    <x v="0"/>
    <x v="2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  <x v="1"/>
    <x v="2"/>
    <x v="3"/>
  </r>
  <r>
    <n v="56"/>
    <x v="1"/>
    <s v="Travel_Rarely"/>
    <n v="1369"/>
    <x v="1"/>
    <x v="5"/>
    <n v="3"/>
    <s v="Life Sciences"/>
    <n v="1"/>
    <n v="1373"/>
    <n v="4"/>
    <s v="Male"/>
    <n v="68"/>
    <n v="3"/>
    <n v="4"/>
    <x v="3"/>
    <x v="1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  <x v="1"/>
    <x v="2"/>
    <x v="3"/>
  </r>
  <r>
    <n v="34"/>
    <x v="1"/>
    <s v="Non-Travel"/>
    <n v="999"/>
    <x v="1"/>
    <x v="9"/>
    <n v="1"/>
    <s v="Technical Degree"/>
    <n v="1"/>
    <n v="1374"/>
    <n v="1"/>
    <s v="Female"/>
    <n v="92"/>
    <n v="2"/>
    <n v="1"/>
    <x v="1"/>
    <x v="2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  <x v="2"/>
    <x v="1"/>
    <x v="2"/>
  </r>
  <r>
    <n v="40"/>
    <x v="1"/>
    <s v="Travel_Rarely"/>
    <n v="1202"/>
    <x v="1"/>
    <x v="2"/>
    <n v="1"/>
    <s v="Medical"/>
    <n v="1"/>
    <n v="1375"/>
    <n v="2"/>
    <s v="Female"/>
    <n v="89"/>
    <n v="4"/>
    <n v="2"/>
    <x v="4"/>
    <x v="2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  <x v="0"/>
    <x v="0"/>
    <x v="3"/>
  </r>
  <r>
    <n v="34"/>
    <x v="1"/>
    <s v="Travel_Rarely"/>
    <n v="285"/>
    <x v="1"/>
    <x v="22"/>
    <n v="3"/>
    <s v="Medical"/>
    <n v="1"/>
    <n v="1377"/>
    <n v="2"/>
    <s v="Male"/>
    <n v="86"/>
    <n v="3"/>
    <n v="2"/>
    <x v="2"/>
    <x v="2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  <x v="2"/>
    <x v="0"/>
    <x v="0"/>
  </r>
  <r>
    <n v="31"/>
    <x v="0"/>
    <s v="Travel_Frequently"/>
    <n v="703"/>
    <x v="0"/>
    <x v="2"/>
    <n v="3"/>
    <s v="Life Sciences"/>
    <n v="1"/>
    <n v="1379"/>
    <n v="3"/>
    <s v="Female"/>
    <n v="90"/>
    <n v="2"/>
    <n v="1"/>
    <x v="6"/>
    <x v="0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  <x v="2"/>
    <x v="1"/>
    <x v="1"/>
  </r>
  <r>
    <n v="35"/>
    <x v="0"/>
    <s v="Travel_Frequently"/>
    <n v="662"/>
    <x v="0"/>
    <x v="21"/>
    <n v="4"/>
    <s v="Marketing"/>
    <n v="1"/>
    <n v="1380"/>
    <n v="4"/>
    <s v="Female"/>
    <n v="67"/>
    <n v="3"/>
    <n v="2"/>
    <x v="0"/>
    <x v="2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  <x v="2"/>
    <x v="0"/>
    <x v="2"/>
  </r>
  <r>
    <n v="38"/>
    <x v="1"/>
    <s v="Travel_Frequently"/>
    <n v="693"/>
    <x v="1"/>
    <x v="15"/>
    <n v="3"/>
    <s v="Life Sciences"/>
    <n v="1"/>
    <n v="1382"/>
    <n v="4"/>
    <s v="Male"/>
    <n v="57"/>
    <n v="4"/>
    <n v="1"/>
    <x v="1"/>
    <x v="2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  <x v="0"/>
    <x v="1"/>
    <x v="2"/>
  </r>
  <r>
    <n v="34"/>
    <x v="1"/>
    <s v="Travel_Rarely"/>
    <n v="404"/>
    <x v="1"/>
    <x v="2"/>
    <n v="4"/>
    <s v="Technical Degree"/>
    <n v="1"/>
    <n v="1383"/>
    <n v="3"/>
    <s v="Female"/>
    <n v="98"/>
    <n v="3"/>
    <n v="2"/>
    <x v="4"/>
    <x v="0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  <x v="2"/>
    <x v="0"/>
    <x v="3"/>
  </r>
  <r>
    <n v="28"/>
    <x v="1"/>
    <s v="Travel_Rarely"/>
    <n v="736"/>
    <x v="0"/>
    <x v="9"/>
    <n v="3"/>
    <s v="Life Sciences"/>
    <n v="1"/>
    <n v="1387"/>
    <n v="3"/>
    <s v="Male"/>
    <n v="48"/>
    <n v="2"/>
    <n v="2"/>
    <x v="0"/>
    <x v="3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  <x v="2"/>
    <x v="0"/>
    <x v="2"/>
  </r>
  <r>
    <n v="31"/>
    <x v="0"/>
    <s v="Travel_Rarely"/>
    <n v="330"/>
    <x v="1"/>
    <x v="23"/>
    <n v="4"/>
    <s v="Medical"/>
    <n v="1"/>
    <n v="1389"/>
    <n v="4"/>
    <s v="Male"/>
    <n v="98"/>
    <n v="3"/>
    <n v="2"/>
    <x v="3"/>
    <x v="2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  <x v="2"/>
    <x v="0"/>
    <x v="0"/>
  </r>
  <r>
    <n v="39"/>
    <x v="1"/>
    <s v="Travel_Rarely"/>
    <n v="1498"/>
    <x v="0"/>
    <x v="11"/>
    <n v="4"/>
    <s v="Life Sciences"/>
    <n v="1"/>
    <n v="1390"/>
    <n v="1"/>
    <s v="Male"/>
    <n v="44"/>
    <n v="2"/>
    <n v="2"/>
    <x v="0"/>
    <x v="0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  <x v="0"/>
    <x v="0"/>
    <x v="2"/>
  </r>
  <r>
    <n v="51"/>
    <x v="1"/>
    <s v="Travel_Frequently"/>
    <n v="541"/>
    <x v="0"/>
    <x v="2"/>
    <n v="3"/>
    <s v="Marketing"/>
    <n v="1"/>
    <n v="1391"/>
    <n v="2"/>
    <s v="Male"/>
    <n v="52"/>
    <n v="3"/>
    <n v="3"/>
    <x v="0"/>
    <x v="1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  <x v="1"/>
    <x v="2"/>
    <x v="2"/>
  </r>
  <r>
    <n v="41"/>
    <x v="1"/>
    <s v="Travel_Frequently"/>
    <n v="1200"/>
    <x v="1"/>
    <x v="23"/>
    <n v="3"/>
    <s v="Life Sciences"/>
    <n v="1"/>
    <n v="1392"/>
    <n v="4"/>
    <s v="Female"/>
    <n v="75"/>
    <n v="3"/>
    <n v="2"/>
    <x v="1"/>
    <x v="0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  <x v="0"/>
    <x v="0"/>
    <x v="0"/>
  </r>
  <r>
    <n v="37"/>
    <x v="1"/>
    <s v="Travel_Rarely"/>
    <n v="1439"/>
    <x v="1"/>
    <x v="18"/>
    <n v="1"/>
    <s v="Life Sciences"/>
    <n v="1"/>
    <n v="1394"/>
    <n v="3"/>
    <s v="Male"/>
    <n v="54"/>
    <n v="3"/>
    <n v="1"/>
    <x v="1"/>
    <x v="2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  <x v="0"/>
    <x v="1"/>
    <x v="0"/>
  </r>
  <r>
    <n v="33"/>
    <x v="1"/>
    <s v="Travel_Frequently"/>
    <n v="1111"/>
    <x v="0"/>
    <x v="12"/>
    <n v="1"/>
    <s v="Life Sciences"/>
    <n v="1"/>
    <n v="1395"/>
    <n v="2"/>
    <s v="Male"/>
    <n v="61"/>
    <n v="3"/>
    <n v="2"/>
    <x v="0"/>
    <x v="0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  <x v="2"/>
    <x v="2"/>
    <x v="2"/>
  </r>
  <r>
    <n v="32"/>
    <x v="1"/>
    <s v="Travel_Rarely"/>
    <n v="499"/>
    <x v="0"/>
    <x v="2"/>
    <n v="1"/>
    <s v="Marketing"/>
    <n v="1"/>
    <n v="1396"/>
    <n v="3"/>
    <s v="Male"/>
    <n v="36"/>
    <n v="3"/>
    <n v="2"/>
    <x v="0"/>
    <x v="1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  <x v="2"/>
    <x v="0"/>
    <x v="2"/>
  </r>
  <r>
    <n v="39"/>
    <x v="1"/>
    <s v="Non-Travel"/>
    <n v="1485"/>
    <x v="1"/>
    <x v="19"/>
    <n v="2"/>
    <s v="Life Sciences"/>
    <n v="1"/>
    <n v="1397"/>
    <n v="3"/>
    <s v="Male"/>
    <n v="71"/>
    <n v="3"/>
    <n v="3"/>
    <x v="4"/>
    <x v="2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  <x v="0"/>
    <x v="2"/>
    <x v="0"/>
  </r>
  <r>
    <n v="25"/>
    <x v="1"/>
    <s v="Travel_Rarely"/>
    <n v="1372"/>
    <x v="0"/>
    <x v="21"/>
    <n v="1"/>
    <s v="Life Sciences"/>
    <n v="1"/>
    <n v="1399"/>
    <n v="1"/>
    <s v="Male"/>
    <n v="93"/>
    <n v="4"/>
    <n v="2"/>
    <x v="0"/>
    <x v="2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  <x v="3"/>
    <x v="0"/>
    <x v="2"/>
  </r>
  <r>
    <n v="52"/>
    <x v="1"/>
    <s v="Travel_Frequently"/>
    <n v="322"/>
    <x v="1"/>
    <x v="26"/>
    <n v="2"/>
    <s v="Medical"/>
    <n v="1"/>
    <n v="1401"/>
    <n v="4"/>
    <s v="Female"/>
    <n v="59"/>
    <n v="4"/>
    <n v="4"/>
    <x v="3"/>
    <x v="2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  <x v="1"/>
    <x v="2"/>
    <x v="2"/>
  </r>
  <r>
    <n v="43"/>
    <x v="1"/>
    <s v="Travel_Rarely"/>
    <n v="930"/>
    <x v="1"/>
    <x v="16"/>
    <n v="3"/>
    <s v="Medical"/>
    <n v="1"/>
    <n v="1402"/>
    <n v="1"/>
    <s v="Female"/>
    <n v="73"/>
    <n v="2"/>
    <n v="2"/>
    <x v="1"/>
    <x v="2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  <x v="0"/>
    <x v="0"/>
    <x v="3"/>
  </r>
  <r>
    <n v="27"/>
    <x v="1"/>
    <s v="Travel_Rarely"/>
    <n v="205"/>
    <x v="0"/>
    <x v="17"/>
    <n v="3"/>
    <s v="Marketing"/>
    <n v="1"/>
    <n v="1403"/>
    <n v="4"/>
    <s v="Female"/>
    <n v="98"/>
    <n v="2"/>
    <n v="2"/>
    <x v="0"/>
    <x v="0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  <x v="2"/>
    <x v="0"/>
    <x v="0"/>
  </r>
  <r>
    <n v="27"/>
    <x v="0"/>
    <s v="Travel_Rarely"/>
    <n v="135"/>
    <x v="1"/>
    <x v="27"/>
    <n v="4"/>
    <s v="Life Sciences"/>
    <n v="1"/>
    <n v="1405"/>
    <n v="4"/>
    <s v="Female"/>
    <n v="51"/>
    <n v="3"/>
    <n v="1"/>
    <x v="1"/>
    <x v="2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  <x v="2"/>
    <x v="1"/>
    <x v="0"/>
  </r>
  <r>
    <n v="26"/>
    <x v="1"/>
    <s v="Travel_Rarely"/>
    <n v="683"/>
    <x v="1"/>
    <x v="2"/>
    <n v="1"/>
    <s v="Medical"/>
    <n v="1"/>
    <n v="1407"/>
    <n v="1"/>
    <s v="Male"/>
    <n v="36"/>
    <n v="2"/>
    <n v="1"/>
    <x v="1"/>
    <x v="0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  <x v="2"/>
    <x v="0"/>
    <x v="2"/>
  </r>
  <r>
    <n v="42"/>
    <x v="1"/>
    <s v="Travel_Rarely"/>
    <n v="1147"/>
    <x v="2"/>
    <x v="17"/>
    <n v="3"/>
    <s v="Human Resources"/>
    <n v="1"/>
    <n v="1408"/>
    <n v="3"/>
    <s v="Female"/>
    <n v="31"/>
    <n v="3"/>
    <n v="4"/>
    <x v="5"/>
    <x v="3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  <x v="0"/>
    <x v="2"/>
    <x v="3"/>
  </r>
  <r>
    <n v="52"/>
    <x v="1"/>
    <s v="Travel_Rarely"/>
    <n v="258"/>
    <x v="1"/>
    <x v="1"/>
    <n v="4"/>
    <s v="Other"/>
    <n v="1"/>
    <n v="1409"/>
    <n v="3"/>
    <s v="Female"/>
    <n v="54"/>
    <n v="3"/>
    <n v="1"/>
    <x v="2"/>
    <x v="3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  <x v="1"/>
    <x v="1"/>
    <x v="2"/>
  </r>
  <r>
    <n v="37"/>
    <x v="1"/>
    <s v="Travel_Rarely"/>
    <n v="1462"/>
    <x v="1"/>
    <x v="13"/>
    <n v="3"/>
    <s v="Medical"/>
    <n v="1"/>
    <n v="1411"/>
    <n v="1"/>
    <s v="Female"/>
    <n v="94"/>
    <n v="3"/>
    <n v="1"/>
    <x v="2"/>
    <x v="2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  <x v="0"/>
    <x v="0"/>
    <x v="2"/>
  </r>
  <r>
    <n v="35"/>
    <x v="1"/>
    <s v="Travel_Frequently"/>
    <n v="200"/>
    <x v="1"/>
    <x v="21"/>
    <n v="2"/>
    <s v="Life Sciences"/>
    <n v="1"/>
    <n v="1412"/>
    <n v="3"/>
    <s v="Male"/>
    <n v="60"/>
    <n v="3"/>
    <n v="3"/>
    <x v="3"/>
    <x v="0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  <x v="2"/>
    <x v="2"/>
    <x v="1"/>
  </r>
  <r>
    <n v="25"/>
    <x v="1"/>
    <s v="Travel_Rarely"/>
    <n v="949"/>
    <x v="1"/>
    <x v="0"/>
    <n v="3"/>
    <s v="Technical Degree"/>
    <n v="1"/>
    <n v="1415"/>
    <n v="1"/>
    <s v="Male"/>
    <n v="81"/>
    <n v="3"/>
    <n v="1"/>
    <x v="2"/>
    <x v="0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  <x v="3"/>
    <x v="0"/>
    <x v="2"/>
  </r>
  <r>
    <n v="26"/>
    <x v="1"/>
    <s v="Travel_Rarely"/>
    <n v="652"/>
    <x v="1"/>
    <x v="15"/>
    <n v="3"/>
    <s v="Other"/>
    <n v="1"/>
    <n v="1417"/>
    <n v="3"/>
    <s v="Male"/>
    <n v="100"/>
    <n v="4"/>
    <n v="1"/>
    <x v="2"/>
    <x v="3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  <x v="2"/>
    <x v="0"/>
    <x v="0"/>
  </r>
  <r>
    <n v="29"/>
    <x v="1"/>
    <s v="Travel_Rarely"/>
    <n v="332"/>
    <x v="2"/>
    <x v="27"/>
    <n v="3"/>
    <s v="Other"/>
    <n v="1"/>
    <n v="1419"/>
    <n v="2"/>
    <s v="Male"/>
    <n v="51"/>
    <n v="2"/>
    <n v="3"/>
    <x v="8"/>
    <x v="3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  <x v="2"/>
    <x v="2"/>
    <x v="0"/>
  </r>
  <r>
    <n v="49"/>
    <x v="0"/>
    <s v="Travel_Frequently"/>
    <n v="1475"/>
    <x v="1"/>
    <x v="26"/>
    <n v="2"/>
    <s v="Life Sciences"/>
    <n v="1"/>
    <n v="1420"/>
    <n v="1"/>
    <s v="Male"/>
    <n v="97"/>
    <n v="2"/>
    <n v="2"/>
    <x v="2"/>
    <x v="3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  <x v="1"/>
    <x v="0"/>
    <x v="2"/>
  </r>
  <r>
    <n v="29"/>
    <x v="0"/>
    <s v="Travel_Frequently"/>
    <n v="337"/>
    <x v="1"/>
    <x v="24"/>
    <n v="1"/>
    <s v="Other"/>
    <n v="1"/>
    <n v="1421"/>
    <n v="3"/>
    <s v="Female"/>
    <n v="84"/>
    <n v="3"/>
    <n v="3"/>
    <x v="4"/>
    <x v="0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  <x v="2"/>
    <x v="2"/>
    <x v="0"/>
  </r>
  <r>
    <n v="54"/>
    <x v="1"/>
    <s v="Travel_Rarely"/>
    <n v="971"/>
    <x v="1"/>
    <x v="0"/>
    <n v="3"/>
    <s v="Medical"/>
    <n v="1"/>
    <n v="1422"/>
    <n v="4"/>
    <s v="Female"/>
    <n v="54"/>
    <n v="3"/>
    <n v="4"/>
    <x v="7"/>
    <x v="0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  <x v="1"/>
    <x v="2"/>
    <x v="3"/>
  </r>
  <r>
    <n v="58"/>
    <x v="1"/>
    <s v="Travel_Rarely"/>
    <n v="1055"/>
    <x v="1"/>
    <x v="0"/>
    <n v="3"/>
    <s v="Medical"/>
    <n v="1"/>
    <n v="1423"/>
    <n v="4"/>
    <s v="Female"/>
    <n v="76"/>
    <n v="3"/>
    <n v="5"/>
    <x v="7"/>
    <x v="3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  <x v="1"/>
    <x v="2"/>
    <x v="0"/>
  </r>
  <r>
    <n v="55"/>
    <x v="1"/>
    <s v="Travel_Rarely"/>
    <n v="1136"/>
    <x v="1"/>
    <x v="0"/>
    <n v="4"/>
    <s v="Medical"/>
    <n v="1"/>
    <n v="1424"/>
    <n v="2"/>
    <s v="Male"/>
    <n v="81"/>
    <n v="4"/>
    <n v="4"/>
    <x v="7"/>
    <x v="0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  <x v="1"/>
    <x v="2"/>
    <x v="0"/>
  </r>
  <r>
    <n v="36"/>
    <x v="1"/>
    <s v="Travel_Rarely"/>
    <n v="1174"/>
    <x v="0"/>
    <x v="3"/>
    <n v="4"/>
    <s v="Marketing"/>
    <n v="1"/>
    <n v="1425"/>
    <n v="1"/>
    <s v="Female"/>
    <n v="99"/>
    <n v="3"/>
    <n v="2"/>
    <x v="0"/>
    <x v="1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  <x v="0"/>
    <x v="2"/>
    <x v="2"/>
  </r>
  <r>
    <n v="31"/>
    <x v="0"/>
    <s v="Travel_Frequently"/>
    <n v="667"/>
    <x v="0"/>
    <x v="0"/>
    <n v="4"/>
    <s v="Life Sciences"/>
    <n v="1"/>
    <n v="1427"/>
    <n v="2"/>
    <s v="Female"/>
    <n v="50"/>
    <n v="1"/>
    <n v="1"/>
    <x v="6"/>
    <x v="2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  <x v="2"/>
    <x v="1"/>
    <x v="1"/>
  </r>
  <r>
    <n v="30"/>
    <x v="1"/>
    <s v="Travel_Rarely"/>
    <n v="855"/>
    <x v="0"/>
    <x v="15"/>
    <n v="4"/>
    <s v="Marketing"/>
    <n v="1"/>
    <n v="1428"/>
    <n v="4"/>
    <s v="Female"/>
    <n v="73"/>
    <n v="3"/>
    <n v="2"/>
    <x v="0"/>
    <x v="3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  <x v="2"/>
    <x v="0"/>
    <x v="2"/>
  </r>
  <r>
    <n v="31"/>
    <x v="1"/>
    <s v="Travel_Rarely"/>
    <n v="182"/>
    <x v="1"/>
    <x v="1"/>
    <n v="5"/>
    <s v="Life Sciences"/>
    <n v="1"/>
    <n v="1430"/>
    <n v="1"/>
    <s v="Female"/>
    <n v="93"/>
    <n v="3"/>
    <n v="4"/>
    <x v="7"/>
    <x v="1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  <x v="2"/>
    <x v="2"/>
    <x v="2"/>
  </r>
  <r>
    <n v="34"/>
    <x v="1"/>
    <s v="Travel_Frequently"/>
    <n v="560"/>
    <x v="1"/>
    <x v="0"/>
    <n v="4"/>
    <s v="Other"/>
    <n v="1"/>
    <n v="1431"/>
    <n v="4"/>
    <s v="Male"/>
    <n v="91"/>
    <n v="3"/>
    <n v="1"/>
    <x v="1"/>
    <x v="3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  <x v="2"/>
    <x v="1"/>
    <x v="2"/>
  </r>
  <r>
    <n v="31"/>
    <x v="0"/>
    <s v="Travel_Rarely"/>
    <n v="202"/>
    <x v="1"/>
    <x v="1"/>
    <n v="3"/>
    <s v="Life Sciences"/>
    <n v="1"/>
    <n v="1433"/>
    <n v="1"/>
    <s v="Female"/>
    <n v="34"/>
    <n v="2"/>
    <n v="1"/>
    <x v="1"/>
    <x v="1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  <x v="2"/>
    <x v="1"/>
    <x v="1"/>
  </r>
  <r>
    <n v="27"/>
    <x v="1"/>
    <s v="Travel_Rarely"/>
    <n v="1377"/>
    <x v="1"/>
    <x v="13"/>
    <n v="1"/>
    <s v="Life Sciences"/>
    <n v="1"/>
    <n v="1434"/>
    <n v="2"/>
    <s v="Male"/>
    <n v="91"/>
    <n v="3"/>
    <n v="1"/>
    <x v="2"/>
    <x v="3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  <x v="2"/>
    <x v="1"/>
    <x v="2"/>
  </r>
  <r>
    <n v="36"/>
    <x v="1"/>
    <s v="Travel_Rarely"/>
    <n v="172"/>
    <x v="1"/>
    <x v="18"/>
    <n v="4"/>
    <s v="Life Sciences"/>
    <n v="1"/>
    <n v="1435"/>
    <n v="1"/>
    <s v="Male"/>
    <n v="37"/>
    <n v="2"/>
    <n v="2"/>
    <x v="2"/>
    <x v="0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  <x v="0"/>
    <x v="0"/>
    <x v="0"/>
  </r>
  <r>
    <n v="36"/>
    <x v="1"/>
    <s v="Travel_Rarely"/>
    <n v="329"/>
    <x v="0"/>
    <x v="7"/>
    <n v="4"/>
    <s v="Marketing"/>
    <n v="1"/>
    <n v="1436"/>
    <n v="3"/>
    <s v="Female"/>
    <n v="98"/>
    <n v="2"/>
    <n v="2"/>
    <x v="0"/>
    <x v="3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  <x v="0"/>
    <x v="0"/>
    <x v="2"/>
  </r>
  <r>
    <n v="47"/>
    <x v="1"/>
    <s v="Travel_Rarely"/>
    <n v="465"/>
    <x v="1"/>
    <x v="0"/>
    <n v="3"/>
    <s v="Technical Degree"/>
    <n v="1"/>
    <n v="1438"/>
    <n v="1"/>
    <s v="Male"/>
    <n v="74"/>
    <n v="3"/>
    <n v="1"/>
    <x v="1"/>
    <x v="0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  <x v="1"/>
    <x v="0"/>
    <x v="0"/>
  </r>
  <r>
    <n v="25"/>
    <x v="0"/>
    <s v="Travel_Rarely"/>
    <n v="383"/>
    <x v="0"/>
    <x v="14"/>
    <n v="2"/>
    <s v="Life Sciences"/>
    <n v="1"/>
    <n v="1439"/>
    <n v="1"/>
    <s v="Male"/>
    <n v="68"/>
    <n v="2"/>
    <n v="1"/>
    <x v="6"/>
    <x v="3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  <x v="3"/>
    <x v="0"/>
    <x v="2"/>
  </r>
  <r>
    <n v="37"/>
    <x v="1"/>
    <s v="Non-Travel"/>
    <n v="1413"/>
    <x v="1"/>
    <x v="12"/>
    <n v="2"/>
    <s v="Technical Degree"/>
    <n v="1"/>
    <n v="1440"/>
    <n v="3"/>
    <s v="Male"/>
    <n v="84"/>
    <n v="4"/>
    <n v="1"/>
    <x v="2"/>
    <x v="2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  <x v="0"/>
    <x v="0"/>
    <x v="0"/>
  </r>
  <r>
    <n v="56"/>
    <x v="1"/>
    <s v="Travel_Rarely"/>
    <n v="1255"/>
    <x v="1"/>
    <x v="0"/>
    <n v="2"/>
    <s v="Life Sciences"/>
    <n v="1"/>
    <n v="1441"/>
    <n v="1"/>
    <s v="Female"/>
    <n v="90"/>
    <n v="3"/>
    <n v="1"/>
    <x v="1"/>
    <x v="3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  <x v="1"/>
    <x v="1"/>
    <x v="2"/>
  </r>
  <r>
    <n v="47"/>
    <x v="1"/>
    <s v="Travel_Rarely"/>
    <n v="359"/>
    <x v="1"/>
    <x v="2"/>
    <n v="4"/>
    <s v="Medical"/>
    <n v="1"/>
    <n v="1443"/>
    <n v="1"/>
    <s v="Female"/>
    <n v="82"/>
    <n v="3"/>
    <n v="4"/>
    <x v="7"/>
    <x v="2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  <x v="1"/>
    <x v="2"/>
    <x v="3"/>
  </r>
  <r>
    <n v="24"/>
    <x v="1"/>
    <s v="Travel_Rarely"/>
    <n v="1476"/>
    <x v="0"/>
    <x v="18"/>
    <n v="1"/>
    <s v="Medical"/>
    <n v="1"/>
    <n v="1445"/>
    <n v="4"/>
    <s v="Female"/>
    <n v="42"/>
    <n v="3"/>
    <n v="2"/>
    <x v="0"/>
    <x v="2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  <x v="3"/>
    <x v="0"/>
    <x v="2"/>
  </r>
  <r>
    <n v="32"/>
    <x v="1"/>
    <s v="Travel_Rarely"/>
    <n v="601"/>
    <x v="0"/>
    <x v="15"/>
    <n v="5"/>
    <s v="Marketing"/>
    <n v="1"/>
    <n v="1446"/>
    <n v="4"/>
    <s v="Male"/>
    <n v="97"/>
    <n v="3"/>
    <n v="2"/>
    <x v="0"/>
    <x v="0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  <x v="2"/>
    <x v="2"/>
    <x v="2"/>
  </r>
  <r>
    <n v="34"/>
    <x v="1"/>
    <s v="Travel_Rarely"/>
    <n v="401"/>
    <x v="1"/>
    <x v="0"/>
    <n v="3"/>
    <s v="Life Sciences"/>
    <n v="1"/>
    <n v="1447"/>
    <n v="4"/>
    <s v="Female"/>
    <n v="86"/>
    <n v="2"/>
    <n v="1"/>
    <x v="2"/>
    <x v="1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  <x v="2"/>
    <x v="0"/>
    <x v="2"/>
  </r>
  <r>
    <n v="41"/>
    <x v="1"/>
    <s v="Travel_Rarely"/>
    <n v="1283"/>
    <x v="1"/>
    <x v="12"/>
    <n v="5"/>
    <s v="Medical"/>
    <n v="1"/>
    <n v="1448"/>
    <n v="2"/>
    <s v="Male"/>
    <n v="90"/>
    <n v="4"/>
    <n v="1"/>
    <x v="1"/>
    <x v="2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  <x v="0"/>
    <x v="1"/>
    <x v="2"/>
  </r>
  <r>
    <n v="40"/>
    <x v="1"/>
    <s v="Non-Travel"/>
    <n v="663"/>
    <x v="1"/>
    <x v="14"/>
    <n v="4"/>
    <s v="Other"/>
    <n v="1"/>
    <n v="1449"/>
    <n v="3"/>
    <s v="Male"/>
    <n v="81"/>
    <n v="3"/>
    <n v="2"/>
    <x v="2"/>
    <x v="2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  <x v="0"/>
    <x v="0"/>
    <x v="0"/>
  </r>
  <r>
    <n v="31"/>
    <x v="1"/>
    <s v="Travel_Rarely"/>
    <n v="326"/>
    <x v="0"/>
    <x v="1"/>
    <n v="2"/>
    <s v="Life Sciences"/>
    <n v="1"/>
    <n v="1453"/>
    <n v="1"/>
    <s v="Male"/>
    <n v="31"/>
    <n v="3"/>
    <n v="3"/>
    <x v="0"/>
    <x v="0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  <x v="2"/>
    <x v="2"/>
    <x v="3"/>
  </r>
  <r>
    <n v="46"/>
    <x v="0"/>
    <s v="Travel_Rarely"/>
    <n v="377"/>
    <x v="0"/>
    <x v="14"/>
    <n v="3"/>
    <s v="Marketing"/>
    <n v="1"/>
    <n v="1457"/>
    <n v="1"/>
    <s v="Male"/>
    <n v="52"/>
    <n v="3"/>
    <n v="3"/>
    <x v="0"/>
    <x v="0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  <x v="1"/>
    <x v="2"/>
    <x v="0"/>
  </r>
  <r>
    <n v="39"/>
    <x v="0"/>
    <s v="Non-Travel"/>
    <n v="592"/>
    <x v="1"/>
    <x v="2"/>
    <n v="3"/>
    <s v="Life Sciences"/>
    <n v="1"/>
    <n v="1458"/>
    <n v="1"/>
    <s v="Female"/>
    <n v="54"/>
    <n v="2"/>
    <n v="1"/>
    <x v="2"/>
    <x v="3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  <x v="0"/>
    <x v="0"/>
    <x v="1"/>
  </r>
  <r>
    <n v="31"/>
    <x v="0"/>
    <s v="Travel_Frequently"/>
    <n v="1445"/>
    <x v="1"/>
    <x v="0"/>
    <n v="5"/>
    <s v="Life Sciences"/>
    <n v="1"/>
    <n v="1459"/>
    <n v="3"/>
    <s v="Female"/>
    <n v="100"/>
    <n v="4"/>
    <n v="3"/>
    <x v="3"/>
    <x v="1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  <x v="2"/>
    <x v="2"/>
    <x v="0"/>
  </r>
  <r>
    <n v="45"/>
    <x v="1"/>
    <s v="Travel_Rarely"/>
    <n v="1038"/>
    <x v="1"/>
    <x v="25"/>
    <n v="3"/>
    <s v="Medical"/>
    <n v="1"/>
    <n v="1460"/>
    <n v="2"/>
    <s v="Male"/>
    <n v="95"/>
    <n v="1"/>
    <n v="3"/>
    <x v="4"/>
    <x v="3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  <x v="0"/>
    <x v="2"/>
    <x v="0"/>
  </r>
  <r>
    <n v="31"/>
    <x v="1"/>
    <s v="Travel_Rarely"/>
    <n v="1398"/>
    <x v="2"/>
    <x v="1"/>
    <n v="2"/>
    <s v="Medical"/>
    <n v="1"/>
    <n v="1461"/>
    <n v="4"/>
    <s v="Female"/>
    <n v="96"/>
    <n v="4"/>
    <n v="1"/>
    <x v="8"/>
    <x v="1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  <x v="2"/>
    <x v="1"/>
    <x v="2"/>
  </r>
  <r>
    <n v="31"/>
    <x v="0"/>
    <s v="Travel_Frequently"/>
    <n v="523"/>
    <x v="1"/>
    <x v="2"/>
    <n v="3"/>
    <s v="Life Sciences"/>
    <n v="1"/>
    <n v="1464"/>
    <n v="2"/>
    <s v="Male"/>
    <n v="94"/>
    <n v="3"/>
    <n v="1"/>
    <x v="2"/>
    <x v="0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  <x v="2"/>
    <x v="0"/>
    <x v="1"/>
  </r>
  <r>
    <n v="45"/>
    <x v="1"/>
    <s v="Travel_Rarely"/>
    <n v="1448"/>
    <x v="1"/>
    <x v="22"/>
    <n v="3"/>
    <s v="Technical Degree"/>
    <n v="1"/>
    <n v="1465"/>
    <n v="2"/>
    <s v="Male"/>
    <n v="55"/>
    <n v="3"/>
    <n v="3"/>
    <x v="3"/>
    <x v="0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  <x v="0"/>
    <x v="2"/>
    <x v="2"/>
  </r>
  <r>
    <n v="48"/>
    <x v="1"/>
    <s v="Travel_Rarely"/>
    <n v="1221"/>
    <x v="0"/>
    <x v="15"/>
    <n v="3"/>
    <s v="Marketing"/>
    <n v="1"/>
    <n v="1466"/>
    <n v="3"/>
    <s v="Male"/>
    <n v="96"/>
    <n v="3"/>
    <n v="2"/>
    <x v="0"/>
    <x v="3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  <x v="1"/>
    <x v="0"/>
    <x v="1"/>
  </r>
  <r>
    <n v="34"/>
    <x v="0"/>
    <s v="Travel_Rarely"/>
    <n v="1107"/>
    <x v="2"/>
    <x v="14"/>
    <n v="4"/>
    <s v="Technical Degree"/>
    <n v="1"/>
    <n v="1467"/>
    <n v="1"/>
    <s v="Female"/>
    <n v="52"/>
    <n v="3"/>
    <n v="1"/>
    <x v="8"/>
    <x v="2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  <x v="2"/>
    <x v="1"/>
    <x v="1"/>
  </r>
  <r>
    <n v="40"/>
    <x v="1"/>
    <s v="Non-Travel"/>
    <n v="218"/>
    <x v="1"/>
    <x v="1"/>
    <n v="1"/>
    <s v="Medical"/>
    <n v="1"/>
    <n v="1468"/>
    <n v="4"/>
    <s v="Male"/>
    <n v="55"/>
    <n v="2"/>
    <n v="3"/>
    <x v="7"/>
    <x v="1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  <x v="0"/>
    <x v="2"/>
    <x v="0"/>
  </r>
  <r>
    <n v="28"/>
    <x v="1"/>
    <s v="Travel_Rarely"/>
    <n v="866"/>
    <x v="0"/>
    <x v="12"/>
    <n v="3"/>
    <s v="Medical"/>
    <n v="1"/>
    <n v="1469"/>
    <n v="4"/>
    <s v="Male"/>
    <n v="84"/>
    <n v="3"/>
    <n v="2"/>
    <x v="0"/>
    <x v="3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  <x v="2"/>
    <x v="2"/>
    <x v="2"/>
  </r>
  <r>
    <n v="44"/>
    <x v="1"/>
    <s v="Non-Travel"/>
    <n v="981"/>
    <x v="1"/>
    <x v="12"/>
    <n v="3"/>
    <s v="Life Sciences"/>
    <n v="1"/>
    <n v="1471"/>
    <n v="3"/>
    <s v="Male"/>
    <n v="90"/>
    <n v="2"/>
    <n v="1"/>
    <x v="2"/>
    <x v="2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  <x v="0"/>
    <x v="0"/>
    <x v="2"/>
  </r>
  <r>
    <n v="53"/>
    <x v="1"/>
    <s v="Travel_Rarely"/>
    <n v="447"/>
    <x v="1"/>
    <x v="2"/>
    <n v="3"/>
    <s v="Medical"/>
    <n v="1"/>
    <n v="1472"/>
    <n v="4"/>
    <s v="Male"/>
    <n v="39"/>
    <n v="4"/>
    <n v="4"/>
    <x v="7"/>
    <x v="1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  <x v="1"/>
    <x v="2"/>
    <x v="0"/>
  </r>
  <r>
    <n v="49"/>
    <x v="1"/>
    <s v="Travel_Rarely"/>
    <n v="1495"/>
    <x v="1"/>
    <x v="12"/>
    <n v="4"/>
    <s v="Technical Degree"/>
    <n v="1"/>
    <n v="1473"/>
    <n v="1"/>
    <s v="Male"/>
    <n v="96"/>
    <n v="3"/>
    <n v="2"/>
    <x v="4"/>
    <x v="2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  <x v="1"/>
    <x v="0"/>
    <x v="2"/>
  </r>
  <r>
    <n v="40"/>
    <x v="1"/>
    <s v="Travel_Rarely"/>
    <n v="896"/>
    <x v="1"/>
    <x v="2"/>
    <n v="3"/>
    <s v="Medical"/>
    <n v="1"/>
    <n v="1474"/>
    <n v="3"/>
    <s v="Male"/>
    <n v="68"/>
    <n v="3"/>
    <n v="1"/>
    <x v="1"/>
    <x v="2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  <x v="0"/>
    <x v="1"/>
    <x v="2"/>
  </r>
  <r>
    <n v="44"/>
    <x v="1"/>
    <s v="Travel_Rarely"/>
    <n v="1467"/>
    <x v="1"/>
    <x v="25"/>
    <n v="3"/>
    <s v="Life Sciences"/>
    <n v="1"/>
    <n v="1475"/>
    <n v="4"/>
    <s v="Male"/>
    <n v="49"/>
    <n v="3"/>
    <n v="1"/>
    <x v="1"/>
    <x v="1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  <x v="0"/>
    <x v="0"/>
    <x v="2"/>
  </r>
  <r>
    <n v="33"/>
    <x v="1"/>
    <s v="Travel_Frequently"/>
    <n v="430"/>
    <x v="0"/>
    <x v="15"/>
    <n v="3"/>
    <s v="Medical"/>
    <n v="1"/>
    <n v="1477"/>
    <n v="4"/>
    <s v="Male"/>
    <n v="54"/>
    <n v="3"/>
    <n v="2"/>
    <x v="0"/>
    <x v="3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  <x v="2"/>
    <x v="0"/>
    <x v="2"/>
  </r>
  <r>
    <n v="34"/>
    <x v="1"/>
    <s v="Travel_Rarely"/>
    <n v="1326"/>
    <x v="0"/>
    <x v="3"/>
    <n v="3"/>
    <s v="Other"/>
    <n v="1"/>
    <n v="1478"/>
    <n v="4"/>
    <s v="Male"/>
    <n v="81"/>
    <n v="1"/>
    <n v="2"/>
    <x v="0"/>
    <x v="3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  <x v="2"/>
    <x v="0"/>
    <x v="3"/>
  </r>
  <r>
    <n v="30"/>
    <x v="1"/>
    <s v="Travel_Rarely"/>
    <n v="1358"/>
    <x v="0"/>
    <x v="7"/>
    <n v="1"/>
    <s v="Life Sciences"/>
    <n v="1"/>
    <n v="1479"/>
    <n v="4"/>
    <s v="Male"/>
    <n v="96"/>
    <n v="3"/>
    <n v="2"/>
    <x v="0"/>
    <x v="2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  <x v="2"/>
    <x v="0"/>
    <x v="1"/>
  </r>
  <r>
    <n v="42"/>
    <x v="1"/>
    <s v="Travel_Frequently"/>
    <n v="748"/>
    <x v="1"/>
    <x v="14"/>
    <n v="2"/>
    <s v="Medical"/>
    <n v="1"/>
    <n v="1480"/>
    <n v="1"/>
    <s v="Female"/>
    <n v="74"/>
    <n v="3"/>
    <n v="1"/>
    <x v="2"/>
    <x v="0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  <x v="0"/>
    <x v="0"/>
    <x v="3"/>
  </r>
  <r>
    <n v="44"/>
    <x v="1"/>
    <s v="Travel_Frequently"/>
    <n v="383"/>
    <x v="0"/>
    <x v="0"/>
    <n v="5"/>
    <s v="Marketing"/>
    <n v="1"/>
    <n v="1481"/>
    <n v="1"/>
    <s v="Female"/>
    <n v="79"/>
    <n v="3"/>
    <n v="2"/>
    <x v="0"/>
    <x v="2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  <x v="0"/>
    <x v="0"/>
    <x v="1"/>
  </r>
  <r>
    <n v="30"/>
    <x v="1"/>
    <s v="Non-Travel"/>
    <n v="990"/>
    <x v="1"/>
    <x v="15"/>
    <n v="3"/>
    <s v="Technical Degree"/>
    <n v="1"/>
    <n v="1482"/>
    <n v="3"/>
    <s v="Male"/>
    <n v="64"/>
    <n v="3"/>
    <n v="1"/>
    <x v="1"/>
    <x v="2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  <x v="2"/>
    <x v="1"/>
    <x v="1"/>
  </r>
  <r>
    <n v="57"/>
    <x v="1"/>
    <s v="Travel_Rarely"/>
    <n v="405"/>
    <x v="1"/>
    <x v="0"/>
    <n v="2"/>
    <s v="Life Sciences"/>
    <n v="1"/>
    <n v="1483"/>
    <n v="2"/>
    <s v="Male"/>
    <n v="93"/>
    <n v="4"/>
    <n v="2"/>
    <x v="1"/>
    <x v="2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  <x v="1"/>
    <x v="0"/>
    <x v="3"/>
  </r>
  <r>
    <n v="49"/>
    <x v="1"/>
    <s v="Travel_Rarely"/>
    <n v="1490"/>
    <x v="1"/>
    <x v="15"/>
    <n v="4"/>
    <s v="Life Sciences"/>
    <n v="1"/>
    <n v="1484"/>
    <n v="3"/>
    <s v="Male"/>
    <n v="35"/>
    <n v="3"/>
    <n v="3"/>
    <x v="4"/>
    <x v="1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  <x v="1"/>
    <x v="2"/>
    <x v="0"/>
  </r>
  <r>
    <n v="34"/>
    <x v="1"/>
    <s v="Travel_Frequently"/>
    <n v="829"/>
    <x v="1"/>
    <x v="8"/>
    <n v="3"/>
    <s v="Medical"/>
    <n v="1"/>
    <n v="1485"/>
    <n v="2"/>
    <s v="Male"/>
    <n v="71"/>
    <n v="3"/>
    <n v="4"/>
    <x v="7"/>
    <x v="3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  <x v="2"/>
    <x v="2"/>
    <x v="3"/>
  </r>
  <r>
    <n v="28"/>
    <x v="0"/>
    <s v="Travel_Frequently"/>
    <n v="1496"/>
    <x v="0"/>
    <x v="0"/>
    <n v="3"/>
    <s v="Technical Degree"/>
    <n v="1"/>
    <n v="1486"/>
    <n v="1"/>
    <s v="Male"/>
    <n v="92"/>
    <n v="3"/>
    <n v="1"/>
    <x v="6"/>
    <x v="2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  <x v="2"/>
    <x v="1"/>
    <x v="2"/>
  </r>
  <r>
    <n v="29"/>
    <x v="0"/>
    <s v="Travel_Frequently"/>
    <n v="115"/>
    <x v="0"/>
    <x v="28"/>
    <n v="3"/>
    <s v="Technical Degree"/>
    <n v="1"/>
    <n v="1487"/>
    <n v="1"/>
    <s v="Female"/>
    <n v="51"/>
    <n v="3"/>
    <n v="2"/>
    <x v="0"/>
    <x v="1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  <x v="2"/>
    <x v="0"/>
    <x v="2"/>
  </r>
  <r>
    <n v="34"/>
    <x v="0"/>
    <s v="Travel_Rarely"/>
    <n v="790"/>
    <x v="0"/>
    <x v="4"/>
    <n v="4"/>
    <s v="Medical"/>
    <n v="1"/>
    <n v="1489"/>
    <n v="1"/>
    <s v="Female"/>
    <n v="40"/>
    <n v="2"/>
    <n v="2"/>
    <x v="0"/>
    <x v="1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  <x v="2"/>
    <x v="0"/>
    <x v="3"/>
  </r>
  <r>
    <n v="35"/>
    <x v="1"/>
    <s v="Travel_Rarely"/>
    <n v="660"/>
    <x v="0"/>
    <x v="15"/>
    <n v="1"/>
    <s v="Life Sciences"/>
    <n v="1"/>
    <n v="1492"/>
    <n v="4"/>
    <s v="Male"/>
    <n v="76"/>
    <n v="3"/>
    <n v="1"/>
    <x v="6"/>
    <x v="2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  <x v="2"/>
    <x v="1"/>
    <x v="1"/>
  </r>
  <r>
    <n v="24"/>
    <x v="0"/>
    <s v="Travel_Frequently"/>
    <n v="381"/>
    <x v="1"/>
    <x v="14"/>
    <n v="3"/>
    <s v="Medical"/>
    <n v="1"/>
    <n v="1494"/>
    <n v="2"/>
    <s v="Male"/>
    <n v="89"/>
    <n v="3"/>
    <n v="1"/>
    <x v="2"/>
    <x v="3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  <x v="3"/>
    <x v="0"/>
    <x v="1"/>
  </r>
  <r>
    <n v="24"/>
    <x v="1"/>
    <s v="Non-Travel"/>
    <n v="830"/>
    <x v="0"/>
    <x v="28"/>
    <n v="2"/>
    <s v="Life Sciences"/>
    <n v="1"/>
    <n v="1495"/>
    <n v="4"/>
    <s v="Female"/>
    <n v="78"/>
    <n v="3"/>
    <n v="1"/>
    <x v="6"/>
    <x v="1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  <x v="3"/>
    <x v="1"/>
    <x v="1"/>
  </r>
  <r>
    <n v="44"/>
    <x v="1"/>
    <s v="Travel_Frequently"/>
    <n v="1193"/>
    <x v="1"/>
    <x v="2"/>
    <n v="1"/>
    <s v="Medical"/>
    <n v="1"/>
    <n v="1496"/>
    <n v="2"/>
    <s v="Male"/>
    <n v="86"/>
    <n v="3"/>
    <n v="3"/>
    <x v="3"/>
    <x v="2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  <x v="0"/>
    <x v="2"/>
    <x v="1"/>
  </r>
  <r>
    <n v="29"/>
    <x v="1"/>
    <s v="Travel_Rarely"/>
    <n v="1246"/>
    <x v="0"/>
    <x v="10"/>
    <n v="3"/>
    <s v="Life Sciences"/>
    <n v="1"/>
    <n v="1497"/>
    <n v="3"/>
    <s v="Male"/>
    <n v="77"/>
    <n v="2"/>
    <n v="2"/>
    <x v="0"/>
    <x v="2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  <x v="2"/>
    <x v="2"/>
    <x v="0"/>
  </r>
  <r>
    <n v="30"/>
    <x v="1"/>
    <s v="Travel_Rarely"/>
    <n v="330"/>
    <x v="2"/>
    <x v="0"/>
    <n v="3"/>
    <s v="Life Sciences"/>
    <n v="1"/>
    <n v="1499"/>
    <n v="3"/>
    <s v="Male"/>
    <n v="46"/>
    <n v="3"/>
    <n v="1"/>
    <x v="8"/>
    <x v="2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  <x v="2"/>
    <x v="1"/>
    <x v="2"/>
  </r>
  <r>
    <n v="55"/>
    <x v="1"/>
    <s v="Travel_Rarely"/>
    <n v="1229"/>
    <x v="1"/>
    <x v="18"/>
    <n v="4"/>
    <s v="Life Sciences"/>
    <n v="1"/>
    <n v="1501"/>
    <n v="4"/>
    <s v="Male"/>
    <n v="30"/>
    <n v="3"/>
    <n v="2"/>
    <x v="4"/>
    <x v="2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  <x v="1"/>
    <x v="0"/>
    <x v="2"/>
  </r>
  <r>
    <n v="33"/>
    <x v="1"/>
    <s v="Travel_Rarely"/>
    <n v="1099"/>
    <x v="1"/>
    <x v="18"/>
    <n v="4"/>
    <s v="Medical"/>
    <n v="1"/>
    <n v="1502"/>
    <n v="1"/>
    <s v="Female"/>
    <n v="82"/>
    <n v="2"/>
    <n v="1"/>
    <x v="2"/>
    <x v="1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  <x v="2"/>
    <x v="0"/>
    <x v="2"/>
  </r>
  <r>
    <n v="47"/>
    <x v="1"/>
    <s v="Travel_Rarely"/>
    <n v="571"/>
    <x v="0"/>
    <x v="24"/>
    <n v="3"/>
    <s v="Medical"/>
    <n v="1"/>
    <n v="1503"/>
    <n v="3"/>
    <s v="Female"/>
    <n v="78"/>
    <n v="3"/>
    <n v="2"/>
    <x v="0"/>
    <x v="2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  <x v="1"/>
    <x v="0"/>
    <x v="2"/>
  </r>
  <r>
    <n v="28"/>
    <x v="0"/>
    <s v="Travel_Frequently"/>
    <n v="289"/>
    <x v="1"/>
    <x v="2"/>
    <n v="2"/>
    <s v="Medical"/>
    <n v="1"/>
    <n v="1504"/>
    <n v="3"/>
    <s v="Male"/>
    <n v="38"/>
    <n v="2"/>
    <n v="1"/>
    <x v="2"/>
    <x v="3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  <x v="2"/>
    <x v="1"/>
    <x v="1"/>
  </r>
  <r>
    <n v="28"/>
    <x v="1"/>
    <s v="Travel_Rarely"/>
    <n v="1423"/>
    <x v="1"/>
    <x v="0"/>
    <n v="3"/>
    <s v="Life Sciences"/>
    <n v="1"/>
    <n v="1506"/>
    <n v="1"/>
    <s v="Male"/>
    <n v="72"/>
    <n v="2"/>
    <n v="1"/>
    <x v="1"/>
    <x v="2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  <x v="2"/>
    <x v="1"/>
    <x v="1"/>
  </r>
  <r>
    <n v="28"/>
    <x v="1"/>
    <s v="Travel_Frequently"/>
    <n v="467"/>
    <x v="0"/>
    <x v="15"/>
    <n v="3"/>
    <s v="Life Sciences"/>
    <n v="1"/>
    <n v="1507"/>
    <n v="3"/>
    <s v="Male"/>
    <n v="55"/>
    <n v="3"/>
    <n v="2"/>
    <x v="0"/>
    <x v="3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  <x v="2"/>
    <x v="0"/>
    <x v="2"/>
  </r>
  <r>
    <n v="49"/>
    <x v="1"/>
    <s v="Travel_Rarely"/>
    <n v="271"/>
    <x v="1"/>
    <x v="3"/>
    <n v="2"/>
    <s v="Medical"/>
    <n v="1"/>
    <n v="1509"/>
    <n v="3"/>
    <s v="Female"/>
    <n v="43"/>
    <n v="2"/>
    <n v="2"/>
    <x v="2"/>
    <x v="3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  <x v="1"/>
    <x v="0"/>
    <x v="2"/>
  </r>
  <r>
    <n v="29"/>
    <x v="1"/>
    <s v="Travel_Frequently"/>
    <n v="410"/>
    <x v="1"/>
    <x v="2"/>
    <n v="1"/>
    <s v="Life Sciences"/>
    <n v="1"/>
    <n v="1513"/>
    <n v="4"/>
    <s v="Female"/>
    <n v="97"/>
    <n v="3"/>
    <n v="1"/>
    <x v="2"/>
    <x v="1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  <x v="2"/>
    <x v="0"/>
    <x v="2"/>
  </r>
  <r>
    <n v="28"/>
    <x v="1"/>
    <s v="Travel_Rarely"/>
    <n v="1083"/>
    <x v="1"/>
    <x v="22"/>
    <n v="1"/>
    <s v="Life Sciences"/>
    <n v="1"/>
    <n v="1514"/>
    <n v="3"/>
    <s v="Male"/>
    <n v="96"/>
    <n v="1"/>
    <n v="2"/>
    <x v="3"/>
    <x v="1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  <x v="2"/>
    <x v="0"/>
    <x v="0"/>
  </r>
  <r>
    <n v="33"/>
    <x v="1"/>
    <s v="Travel_Rarely"/>
    <n v="516"/>
    <x v="1"/>
    <x v="1"/>
    <n v="5"/>
    <s v="Life Sciences"/>
    <n v="1"/>
    <n v="1515"/>
    <n v="4"/>
    <s v="Male"/>
    <n v="69"/>
    <n v="3"/>
    <n v="2"/>
    <x v="4"/>
    <x v="2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  <x v="2"/>
    <x v="0"/>
    <x v="1"/>
  </r>
  <r>
    <n v="32"/>
    <x v="1"/>
    <s v="Travel_Rarely"/>
    <n v="495"/>
    <x v="1"/>
    <x v="17"/>
    <n v="3"/>
    <s v="Medical"/>
    <n v="1"/>
    <n v="1516"/>
    <n v="3"/>
    <s v="Male"/>
    <n v="64"/>
    <n v="3"/>
    <n v="3"/>
    <x v="5"/>
    <x v="0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  <x v="2"/>
    <x v="2"/>
    <x v="2"/>
  </r>
  <r>
    <n v="54"/>
    <x v="1"/>
    <s v="Travel_Frequently"/>
    <n v="1050"/>
    <x v="1"/>
    <x v="13"/>
    <n v="4"/>
    <s v="Medical"/>
    <n v="1"/>
    <n v="1520"/>
    <n v="2"/>
    <s v="Female"/>
    <n v="87"/>
    <n v="3"/>
    <n v="4"/>
    <x v="5"/>
    <x v="0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  <x v="1"/>
    <x v="2"/>
    <x v="3"/>
  </r>
  <r>
    <n v="29"/>
    <x v="0"/>
    <s v="Travel_Rarely"/>
    <n v="224"/>
    <x v="1"/>
    <x v="0"/>
    <n v="4"/>
    <s v="Technical Degree"/>
    <n v="1"/>
    <n v="1522"/>
    <n v="1"/>
    <s v="Male"/>
    <n v="100"/>
    <n v="2"/>
    <n v="1"/>
    <x v="1"/>
    <x v="3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  <x v="2"/>
    <x v="1"/>
    <x v="0"/>
  </r>
  <r>
    <n v="44"/>
    <x v="1"/>
    <s v="Travel_Rarely"/>
    <n v="136"/>
    <x v="1"/>
    <x v="26"/>
    <n v="3"/>
    <s v="Life Sciences"/>
    <n v="1"/>
    <n v="1523"/>
    <n v="4"/>
    <s v="Male"/>
    <n v="32"/>
    <n v="3"/>
    <n v="4"/>
    <x v="7"/>
    <x v="3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  <x v="0"/>
    <x v="2"/>
    <x v="3"/>
  </r>
  <r>
    <n v="39"/>
    <x v="1"/>
    <s v="Travel_Rarely"/>
    <n v="1089"/>
    <x v="1"/>
    <x v="16"/>
    <n v="3"/>
    <s v="Life Sciences"/>
    <n v="1"/>
    <n v="1525"/>
    <n v="2"/>
    <s v="Female"/>
    <n v="32"/>
    <n v="3"/>
    <n v="3"/>
    <x v="3"/>
    <x v="1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  <x v="0"/>
    <x v="2"/>
    <x v="1"/>
  </r>
  <r>
    <n v="46"/>
    <x v="1"/>
    <s v="Travel_Rarely"/>
    <n v="228"/>
    <x v="0"/>
    <x v="3"/>
    <n v="3"/>
    <s v="Life Sciences"/>
    <n v="1"/>
    <n v="1527"/>
    <n v="3"/>
    <s v="Female"/>
    <n v="51"/>
    <n v="3"/>
    <n v="4"/>
    <x v="5"/>
    <x v="1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  <x v="1"/>
    <x v="2"/>
    <x v="3"/>
  </r>
  <r>
    <n v="35"/>
    <x v="1"/>
    <s v="Travel_Rarely"/>
    <n v="1029"/>
    <x v="1"/>
    <x v="7"/>
    <n v="3"/>
    <s v="Life Sciences"/>
    <n v="1"/>
    <n v="1529"/>
    <n v="4"/>
    <s v="Female"/>
    <n v="91"/>
    <n v="2"/>
    <n v="3"/>
    <x v="4"/>
    <x v="1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  <x v="2"/>
    <x v="2"/>
    <x v="3"/>
  </r>
  <r>
    <n v="23"/>
    <x v="1"/>
    <s v="Travel_Rarely"/>
    <n v="507"/>
    <x v="1"/>
    <x v="25"/>
    <n v="1"/>
    <s v="Life Sciences"/>
    <n v="1"/>
    <n v="1533"/>
    <n v="1"/>
    <s v="Male"/>
    <n v="97"/>
    <n v="3"/>
    <n v="2"/>
    <x v="2"/>
    <x v="2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  <x v="3"/>
    <x v="1"/>
    <x v="2"/>
  </r>
  <r>
    <n v="40"/>
    <x v="0"/>
    <s v="Travel_Rarely"/>
    <n v="676"/>
    <x v="1"/>
    <x v="14"/>
    <n v="4"/>
    <s v="Life Sciences"/>
    <n v="1"/>
    <n v="1534"/>
    <n v="4"/>
    <s v="Male"/>
    <n v="86"/>
    <n v="3"/>
    <n v="1"/>
    <x v="2"/>
    <x v="3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  <x v="0"/>
    <x v="1"/>
    <x v="2"/>
  </r>
  <r>
    <n v="34"/>
    <x v="1"/>
    <s v="Travel_Rarely"/>
    <n v="971"/>
    <x v="0"/>
    <x v="0"/>
    <n v="3"/>
    <s v="Technical Degree"/>
    <n v="1"/>
    <n v="1535"/>
    <n v="4"/>
    <s v="Male"/>
    <n v="64"/>
    <n v="2"/>
    <n v="3"/>
    <x v="0"/>
    <x v="2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  <x v="2"/>
    <x v="2"/>
    <x v="0"/>
  </r>
  <r>
    <n v="31"/>
    <x v="0"/>
    <s v="Travel_Frequently"/>
    <n v="561"/>
    <x v="1"/>
    <x v="3"/>
    <n v="3"/>
    <s v="Life Sciences"/>
    <n v="1"/>
    <n v="1537"/>
    <n v="4"/>
    <s v="Female"/>
    <n v="33"/>
    <n v="3"/>
    <n v="1"/>
    <x v="1"/>
    <x v="2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  <x v="2"/>
    <x v="0"/>
    <x v="0"/>
  </r>
  <r>
    <n v="50"/>
    <x v="1"/>
    <s v="Travel_Frequently"/>
    <n v="333"/>
    <x v="1"/>
    <x v="23"/>
    <n v="5"/>
    <s v="Medical"/>
    <n v="1"/>
    <n v="1539"/>
    <n v="3"/>
    <s v="Male"/>
    <n v="88"/>
    <n v="1"/>
    <n v="4"/>
    <x v="7"/>
    <x v="0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  <x v="1"/>
    <x v="2"/>
    <x v="3"/>
  </r>
  <r>
    <n v="34"/>
    <x v="1"/>
    <s v="Travel_Rarely"/>
    <n v="1440"/>
    <x v="0"/>
    <x v="15"/>
    <n v="2"/>
    <s v="Technical Degree"/>
    <n v="1"/>
    <n v="1541"/>
    <n v="2"/>
    <s v="Male"/>
    <n v="55"/>
    <n v="3"/>
    <n v="1"/>
    <x v="6"/>
    <x v="2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  <x v="2"/>
    <x v="1"/>
    <x v="3"/>
  </r>
  <r>
    <n v="42"/>
    <x v="1"/>
    <s v="Travel_Rarely"/>
    <n v="1210"/>
    <x v="1"/>
    <x v="2"/>
    <n v="3"/>
    <s v="Medical"/>
    <n v="1"/>
    <n v="1542"/>
    <n v="3"/>
    <s v="Male"/>
    <n v="68"/>
    <n v="2"/>
    <n v="1"/>
    <x v="2"/>
    <x v="1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  <x v="0"/>
    <x v="0"/>
    <x v="1"/>
  </r>
  <r>
    <n v="37"/>
    <x v="1"/>
    <s v="Travel_Rarely"/>
    <n v="674"/>
    <x v="1"/>
    <x v="28"/>
    <n v="3"/>
    <s v="Medical"/>
    <n v="1"/>
    <n v="1543"/>
    <n v="1"/>
    <s v="Male"/>
    <n v="47"/>
    <n v="3"/>
    <n v="2"/>
    <x v="1"/>
    <x v="0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  <x v="0"/>
    <x v="0"/>
    <x v="0"/>
  </r>
  <r>
    <n v="29"/>
    <x v="1"/>
    <s v="Travel_Rarely"/>
    <n v="441"/>
    <x v="1"/>
    <x v="1"/>
    <n v="1"/>
    <s v="Other"/>
    <n v="1"/>
    <n v="1544"/>
    <n v="3"/>
    <s v="Female"/>
    <n v="39"/>
    <n v="1"/>
    <n v="2"/>
    <x v="4"/>
    <x v="3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  <x v="2"/>
    <x v="2"/>
    <x v="0"/>
  </r>
  <r>
    <n v="33"/>
    <x v="1"/>
    <s v="Travel_Rarely"/>
    <n v="575"/>
    <x v="1"/>
    <x v="19"/>
    <n v="3"/>
    <s v="Life Sciences"/>
    <n v="1"/>
    <n v="1545"/>
    <n v="4"/>
    <s v="Male"/>
    <n v="44"/>
    <n v="2"/>
    <n v="2"/>
    <x v="3"/>
    <x v="1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  <x v="2"/>
    <x v="0"/>
    <x v="2"/>
  </r>
  <r>
    <n v="45"/>
    <x v="1"/>
    <s v="Travel_Rarely"/>
    <n v="950"/>
    <x v="1"/>
    <x v="26"/>
    <n v="3"/>
    <s v="Technical Degree"/>
    <n v="1"/>
    <n v="1546"/>
    <n v="4"/>
    <s v="Male"/>
    <n v="97"/>
    <n v="3"/>
    <n v="1"/>
    <x v="1"/>
    <x v="0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  <x v="0"/>
    <x v="1"/>
    <x v="2"/>
  </r>
  <r>
    <n v="42"/>
    <x v="1"/>
    <s v="Travel_Frequently"/>
    <n v="288"/>
    <x v="1"/>
    <x v="2"/>
    <n v="3"/>
    <s v="Life Sciences"/>
    <n v="1"/>
    <n v="1547"/>
    <n v="4"/>
    <s v="Male"/>
    <n v="40"/>
    <n v="3"/>
    <n v="3"/>
    <x v="4"/>
    <x v="0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  <x v="0"/>
    <x v="2"/>
    <x v="3"/>
  </r>
  <r>
    <n v="40"/>
    <x v="1"/>
    <s v="Travel_Rarely"/>
    <n v="1342"/>
    <x v="0"/>
    <x v="14"/>
    <n v="2"/>
    <s v="Medical"/>
    <n v="1"/>
    <n v="1548"/>
    <n v="1"/>
    <s v="Male"/>
    <n v="47"/>
    <n v="3"/>
    <n v="2"/>
    <x v="0"/>
    <x v="3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  <x v="0"/>
    <x v="0"/>
    <x v="0"/>
  </r>
  <r>
    <n v="33"/>
    <x v="1"/>
    <s v="Travel_Rarely"/>
    <n v="589"/>
    <x v="1"/>
    <x v="26"/>
    <n v="4"/>
    <s v="Life Sciences"/>
    <n v="1"/>
    <n v="1549"/>
    <n v="2"/>
    <s v="Male"/>
    <n v="79"/>
    <n v="3"/>
    <n v="2"/>
    <x v="2"/>
    <x v="2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  <x v="2"/>
    <x v="0"/>
    <x v="3"/>
  </r>
  <r>
    <n v="40"/>
    <x v="1"/>
    <s v="Travel_Rarely"/>
    <n v="898"/>
    <x v="2"/>
    <x v="16"/>
    <n v="2"/>
    <s v="Medical"/>
    <n v="1"/>
    <n v="1550"/>
    <n v="3"/>
    <s v="Male"/>
    <n v="38"/>
    <n v="3"/>
    <n v="4"/>
    <x v="5"/>
    <x v="0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  <x v="0"/>
    <x v="2"/>
    <x v="3"/>
  </r>
  <r>
    <n v="24"/>
    <x v="1"/>
    <s v="Travel_Rarely"/>
    <n v="350"/>
    <x v="1"/>
    <x v="11"/>
    <n v="2"/>
    <s v="Technical Degree"/>
    <n v="1"/>
    <n v="1551"/>
    <n v="3"/>
    <s v="Male"/>
    <n v="57"/>
    <n v="2"/>
    <n v="1"/>
    <x v="2"/>
    <x v="3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  <x v="3"/>
    <x v="1"/>
    <x v="1"/>
  </r>
  <r>
    <n v="40"/>
    <x v="1"/>
    <s v="Non-Travel"/>
    <n v="1142"/>
    <x v="1"/>
    <x v="1"/>
    <n v="2"/>
    <s v="Life Sciences"/>
    <n v="1"/>
    <n v="1552"/>
    <n v="4"/>
    <s v="Male"/>
    <n v="72"/>
    <n v="3"/>
    <n v="2"/>
    <x v="4"/>
    <x v="0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  <x v="0"/>
    <x v="0"/>
    <x v="1"/>
  </r>
  <r>
    <n v="45"/>
    <x v="1"/>
    <s v="Travel_Rarely"/>
    <n v="538"/>
    <x v="1"/>
    <x v="0"/>
    <n v="4"/>
    <s v="Technical Degree"/>
    <n v="1"/>
    <n v="1553"/>
    <n v="1"/>
    <s v="Male"/>
    <n v="66"/>
    <n v="3"/>
    <n v="3"/>
    <x v="4"/>
    <x v="1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  <x v="0"/>
    <x v="2"/>
    <x v="0"/>
  </r>
  <r>
    <n v="35"/>
    <x v="1"/>
    <s v="Travel_Rarely"/>
    <n v="1402"/>
    <x v="0"/>
    <x v="26"/>
    <n v="4"/>
    <s v="Life Sciences"/>
    <n v="1"/>
    <n v="1554"/>
    <n v="2"/>
    <s v="Female"/>
    <n v="98"/>
    <n v="2"/>
    <n v="1"/>
    <x v="6"/>
    <x v="2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  <x v="2"/>
    <x v="1"/>
    <x v="2"/>
  </r>
  <r>
    <n v="32"/>
    <x v="1"/>
    <s v="Travel_Rarely"/>
    <n v="824"/>
    <x v="1"/>
    <x v="12"/>
    <n v="2"/>
    <s v="Life Sciences"/>
    <n v="1"/>
    <n v="1555"/>
    <n v="4"/>
    <s v="Female"/>
    <n v="67"/>
    <n v="2"/>
    <n v="2"/>
    <x v="1"/>
    <x v="1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  <x v="2"/>
    <x v="0"/>
    <x v="0"/>
  </r>
  <r>
    <n v="36"/>
    <x v="1"/>
    <s v="Travel_Rarely"/>
    <n v="1157"/>
    <x v="0"/>
    <x v="2"/>
    <n v="4"/>
    <s v="Life Sciences"/>
    <n v="1"/>
    <n v="1556"/>
    <n v="3"/>
    <s v="Male"/>
    <n v="70"/>
    <n v="3"/>
    <n v="1"/>
    <x v="6"/>
    <x v="0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  <x v="0"/>
    <x v="1"/>
    <x v="2"/>
  </r>
  <r>
    <n v="48"/>
    <x v="1"/>
    <s v="Travel_Rarely"/>
    <n v="492"/>
    <x v="0"/>
    <x v="7"/>
    <n v="4"/>
    <s v="Life Sciences"/>
    <n v="1"/>
    <n v="1557"/>
    <n v="3"/>
    <s v="Female"/>
    <n v="96"/>
    <n v="3"/>
    <n v="2"/>
    <x v="0"/>
    <x v="2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  <x v="1"/>
    <x v="0"/>
    <x v="0"/>
  </r>
  <r>
    <n v="29"/>
    <x v="1"/>
    <s v="Travel_Rarely"/>
    <n v="598"/>
    <x v="1"/>
    <x v="14"/>
    <n v="3"/>
    <s v="Life Sciences"/>
    <n v="1"/>
    <n v="1558"/>
    <n v="3"/>
    <s v="Male"/>
    <n v="91"/>
    <n v="4"/>
    <n v="1"/>
    <x v="1"/>
    <x v="2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  <x v="2"/>
    <x v="1"/>
    <x v="1"/>
  </r>
  <r>
    <n v="33"/>
    <x v="1"/>
    <s v="Travel_Rarely"/>
    <n v="1242"/>
    <x v="0"/>
    <x v="1"/>
    <n v="4"/>
    <s v="Life Sciences"/>
    <n v="1"/>
    <n v="1560"/>
    <n v="1"/>
    <s v="Male"/>
    <n v="46"/>
    <n v="3"/>
    <n v="2"/>
    <x v="0"/>
    <x v="3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  <x v="2"/>
    <x v="0"/>
    <x v="1"/>
  </r>
  <r>
    <n v="30"/>
    <x v="0"/>
    <s v="Travel_Rarely"/>
    <n v="740"/>
    <x v="0"/>
    <x v="0"/>
    <n v="3"/>
    <s v="Life Sciences"/>
    <n v="1"/>
    <n v="1562"/>
    <n v="2"/>
    <s v="Male"/>
    <n v="64"/>
    <n v="2"/>
    <n v="2"/>
    <x v="0"/>
    <x v="3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  <x v="2"/>
    <x v="2"/>
    <x v="0"/>
  </r>
  <r>
    <n v="38"/>
    <x v="1"/>
    <s v="Travel_Frequently"/>
    <n v="888"/>
    <x v="2"/>
    <x v="17"/>
    <n v="4"/>
    <s v="Human Resources"/>
    <n v="1"/>
    <n v="1563"/>
    <n v="3"/>
    <s v="Male"/>
    <n v="71"/>
    <n v="3"/>
    <n v="2"/>
    <x v="8"/>
    <x v="2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  <x v="0"/>
    <x v="0"/>
    <x v="0"/>
  </r>
  <r>
    <n v="35"/>
    <x v="1"/>
    <s v="Travel_Rarely"/>
    <n v="992"/>
    <x v="1"/>
    <x v="0"/>
    <n v="3"/>
    <s v="Medical"/>
    <n v="1"/>
    <n v="1564"/>
    <n v="4"/>
    <s v="Male"/>
    <n v="68"/>
    <n v="2"/>
    <n v="1"/>
    <x v="2"/>
    <x v="3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  <x v="2"/>
    <x v="1"/>
    <x v="2"/>
  </r>
  <r>
    <n v="30"/>
    <x v="1"/>
    <s v="Travel_Rarely"/>
    <n v="1288"/>
    <x v="0"/>
    <x v="22"/>
    <n v="4"/>
    <s v="Technical Degree"/>
    <n v="1"/>
    <n v="1568"/>
    <n v="3"/>
    <s v="Male"/>
    <n v="33"/>
    <n v="3"/>
    <n v="3"/>
    <x v="0"/>
    <x v="1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  <x v="2"/>
    <x v="2"/>
    <x v="2"/>
  </r>
  <r>
    <n v="35"/>
    <x v="0"/>
    <s v="Travel_Rarely"/>
    <n v="104"/>
    <x v="1"/>
    <x v="2"/>
    <n v="3"/>
    <s v="Life Sciences"/>
    <n v="1"/>
    <n v="1569"/>
    <n v="1"/>
    <s v="Female"/>
    <n v="69"/>
    <n v="3"/>
    <n v="1"/>
    <x v="2"/>
    <x v="3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  <x v="2"/>
    <x v="1"/>
    <x v="1"/>
  </r>
  <r>
    <n v="53"/>
    <x v="0"/>
    <s v="Travel_Rarely"/>
    <n v="607"/>
    <x v="1"/>
    <x v="2"/>
    <n v="5"/>
    <s v="Technical Degree"/>
    <n v="1"/>
    <n v="1572"/>
    <n v="3"/>
    <s v="Female"/>
    <n v="78"/>
    <n v="2"/>
    <n v="3"/>
    <x v="3"/>
    <x v="0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  <x v="1"/>
    <x v="2"/>
    <x v="3"/>
  </r>
  <r>
    <n v="38"/>
    <x v="0"/>
    <s v="Travel_Rarely"/>
    <n v="903"/>
    <x v="1"/>
    <x v="2"/>
    <n v="3"/>
    <s v="Medical"/>
    <n v="1"/>
    <n v="1573"/>
    <n v="3"/>
    <s v="Male"/>
    <n v="81"/>
    <n v="3"/>
    <n v="2"/>
    <x v="3"/>
    <x v="1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  <x v="0"/>
    <x v="0"/>
    <x v="2"/>
  </r>
  <r>
    <n v="32"/>
    <x v="1"/>
    <s v="Non-Travel"/>
    <n v="1200"/>
    <x v="1"/>
    <x v="0"/>
    <n v="4"/>
    <s v="Technical Degree"/>
    <n v="1"/>
    <n v="1574"/>
    <n v="4"/>
    <s v="Male"/>
    <n v="62"/>
    <n v="3"/>
    <n v="2"/>
    <x v="1"/>
    <x v="3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  <x v="2"/>
    <x v="0"/>
    <x v="0"/>
  </r>
  <r>
    <n v="48"/>
    <x v="1"/>
    <s v="Travel_Rarely"/>
    <n v="1108"/>
    <x v="1"/>
    <x v="8"/>
    <n v="4"/>
    <s v="Other"/>
    <n v="1"/>
    <n v="1576"/>
    <n v="3"/>
    <s v="Female"/>
    <n v="65"/>
    <n v="3"/>
    <n v="1"/>
    <x v="1"/>
    <x v="3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  <x v="1"/>
    <x v="1"/>
    <x v="0"/>
  </r>
  <r>
    <n v="34"/>
    <x v="1"/>
    <s v="Travel_Rarely"/>
    <n v="479"/>
    <x v="1"/>
    <x v="15"/>
    <n v="4"/>
    <s v="Medical"/>
    <n v="1"/>
    <n v="1577"/>
    <n v="1"/>
    <s v="Male"/>
    <n v="35"/>
    <n v="3"/>
    <n v="1"/>
    <x v="1"/>
    <x v="0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  <x v="2"/>
    <x v="1"/>
    <x v="1"/>
  </r>
  <r>
    <n v="55"/>
    <x v="1"/>
    <s v="Travel_Rarely"/>
    <n v="685"/>
    <x v="0"/>
    <x v="9"/>
    <n v="5"/>
    <s v="Marketing"/>
    <n v="1"/>
    <n v="1578"/>
    <n v="3"/>
    <s v="Male"/>
    <n v="60"/>
    <n v="2"/>
    <n v="5"/>
    <x v="5"/>
    <x v="0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  <x v="1"/>
    <x v="2"/>
    <x v="3"/>
  </r>
  <r>
    <n v="34"/>
    <x v="1"/>
    <s v="Travel_Rarely"/>
    <n v="1351"/>
    <x v="1"/>
    <x v="0"/>
    <n v="4"/>
    <s v="Life Sciences"/>
    <n v="1"/>
    <n v="1580"/>
    <n v="2"/>
    <s v="Male"/>
    <n v="45"/>
    <n v="3"/>
    <n v="2"/>
    <x v="1"/>
    <x v="0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  <x v="2"/>
    <x v="0"/>
    <x v="1"/>
  </r>
  <r>
    <n v="26"/>
    <x v="1"/>
    <s v="Travel_Rarely"/>
    <n v="474"/>
    <x v="1"/>
    <x v="3"/>
    <n v="3"/>
    <s v="Life Sciences"/>
    <n v="1"/>
    <n v="1581"/>
    <n v="1"/>
    <s v="Female"/>
    <n v="89"/>
    <n v="3"/>
    <n v="1"/>
    <x v="1"/>
    <x v="0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  <x v="2"/>
    <x v="1"/>
    <x v="1"/>
  </r>
  <r>
    <n v="38"/>
    <x v="1"/>
    <s v="Travel_Rarely"/>
    <n v="1245"/>
    <x v="0"/>
    <x v="24"/>
    <n v="3"/>
    <s v="Life Sciences"/>
    <n v="1"/>
    <n v="1582"/>
    <n v="3"/>
    <s v="Male"/>
    <n v="80"/>
    <n v="3"/>
    <n v="2"/>
    <x v="0"/>
    <x v="1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  <x v="0"/>
    <x v="2"/>
    <x v="0"/>
  </r>
  <r>
    <n v="38"/>
    <x v="1"/>
    <s v="Travel_Rarely"/>
    <n v="437"/>
    <x v="0"/>
    <x v="7"/>
    <n v="3"/>
    <s v="Life Sciences"/>
    <n v="1"/>
    <n v="1583"/>
    <n v="2"/>
    <s v="Female"/>
    <n v="90"/>
    <n v="3"/>
    <n v="2"/>
    <x v="0"/>
    <x v="1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  <x v="0"/>
    <x v="0"/>
    <x v="2"/>
  </r>
  <r>
    <n v="36"/>
    <x v="1"/>
    <s v="Travel_Rarely"/>
    <n v="884"/>
    <x v="0"/>
    <x v="0"/>
    <n v="4"/>
    <s v="Life Sciences"/>
    <n v="1"/>
    <n v="1585"/>
    <n v="2"/>
    <s v="Female"/>
    <n v="73"/>
    <n v="3"/>
    <n v="2"/>
    <x v="0"/>
    <x v="2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  <x v="0"/>
    <x v="0"/>
    <x v="1"/>
  </r>
  <r>
    <n v="29"/>
    <x v="1"/>
    <s v="Travel_Rarely"/>
    <n v="1370"/>
    <x v="1"/>
    <x v="3"/>
    <n v="1"/>
    <s v="Medical"/>
    <n v="1"/>
    <n v="1586"/>
    <n v="2"/>
    <s v="Male"/>
    <n v="87"/>
    <n v="3"/>
    <n v="1"/>
    <x v="2"/>
    <x v="3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  <x v="2"/>
    <x v="0"/>
    <x v="0"/>
  </r>
  <r>
    <n v="35"/>
    <x v="1"/>
    <s v="Travel_Rarely"/>
    <n v="670"/>
    <x v="1"/>
    <x v="17"/>
    <n v="4"/>
    <s v="Medical"/>
    <n v="1"/>
    <n v="1587"/>
    <n v="1"/>
    <s v="Female"/>
    <n v="51"/>
    <n v="3"/>
    <n v="2"/>
    <x v="4"/>
    <x v="2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  <x v="2"/>
    <x v="0"/>
    <x v="2"/>
  </r>
  <r>
    <n v="39"/>
    <x v="1"/>
    <s v="Travel_Rarely"/>
    <n v="1462"/>
    <x v="0"/>
    <x v="16"/>
    <n v="3"/>
    <s v="Medical"/>
    <n v="1"/>
    <n v="1588"/>
    <n v="4"/>
    <s v="Male"/>
    <n v="38"/>
    <n v="4"/>
    <n v="3"/>
    <x v="0"/>
    <x v="2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  <x v="0"/>
    <x v="2"/>
    <x v="0"/>
  </r>
  <r>
    <n v="29"/>
    <x v="1"/>
    <s v="Travel_Frequently"/>
    <n v="995"/>
    <x v="1"/>
    <x v="2"/>
    <n v="1"/>
    <s v="Life Sciences"/>
    <n v="1"/>
    <n v="1590"/>
    <n v="1"/>
    <s v="Male"/>
    <n v="87"/>
    <n v="3"/>
    <n v="2"/>
    <x v="4"/>
    <x v="0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  <x v="2"/>
    <x v="2"/>
    <x v="0"/>
  </r>
  <r>
    <n v="50"/>
    <x v="1"/>
    <s v="Travel_Rarely"/>
    <n v="264"/>
    <x v="0"/>
    <x v="14"/>
    <n v="3"/>
    <s v="Marketing"/>
    <n v="1"/>
    <n v="1591"/>
    <n v="3"/>
    <s v="Male"/>
    <n v="59"/>
    <n v="3"/>
    <n v="5"/>
    <x v="5"/>
    <x v="2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  <x v="1"/>
    <x v="2"/>
    <x v="1"/>
  </r>
  <r>
    <n v="23"/>
    <x v="1"/>
    <s v="Travel_Rarely"/>
    <n v="977"/>
    <x v="1"/>
    <x v="17"/>
    <n v="3"/>
    <s v="Technical Degree"/>
    <n v="1"/>
    <n v="1592"/>
    <n v="4"/>
    <s v="Male"/>
    <n v="45"/>
    <n v="4"/>
    <n v="1"/>
    <x v="1"/>
    <x v="2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  <x v="3"/>
    <x v="1"/>
    <x v="1"/>
  </r>
  <r>
    <n v="36"/>
    <x v="1"/>
    <s v="Travel_Frequently"/>
    <n v="1302"/>
    <x v="1"/>
    <x v="16"/>
    <n v="4"/>
    <s v="Life Sciences"/>
    <n v="1"/>
    <n v="1594"/>
    <n v="1"/>
    <s v="Male"/>
    <n v="80"/>
    <n v="4"/>
    <n v="2"/>
    <x v="2"/>
    <x v="3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  <x v="0"/>
    <x v="0"/>
    <x v="2"/>
  </r>
  <r>
    <n v="42"/>
    <x v="1"/>
    <s v="Travel_Rarely"/>
    <n v="1059"/>
    <x v="1"/>
    <x v="14"/>
    <n v="2"/>
    <s v="Other"/>
    <n v="1"/>
    <n v="1595"/>
    <n v="4"/>
    <s v="Male"/>
    <n v="93"/>
    <n v="2"/>
    <n v="5"/>
    <x v="5"/>
    <x v="0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  <x v="0"/>
    <x v="2"/>
    <x v="1"/>
  </r>
  <r>
    <n v="35"/>
    <x v="1"/>
    <s v="Travel_Rarely"/>
    <n v="750"/>
    <x v="1"/>
    <x v="26"/>
    <n v="3"/>
    <s v="Life Sciences"/>
    <n v="1"/>
    <n v="1596"/>
    <n v="2"/>
    <s v="Male"/>
    <n v="46"/>
    <n v="4"/>
    <n v="2"/>
    <x v="2"/>
    <x v="2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  <x v="2"/>
    <x v="0"/>
    <x v="0"/>
  </r>
  <r>
    <n v="34"/>
    <x v="1"/>
    <s v="Travel_Frequently"/>
    <n v="653"/>
    <x v="1"/>
    <x v="17"/>
    <n v="4"/>
    <s v="Technical Degree"/>
    <n v="1"/>
    <n v="1597"/>
    <n v="4"/>
    <s v="Male"/>
    <n v="92"/>
    <n v="2"/>
    <n v="2"/>
    <x v="4"/>
    <x v="2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  <x v="2"/>
    <x v="0"/>
    <x v="0"/>
  </r>
  <r>
    <n v="40"/>
    <x v="1"/>
    <s v="Travel_Rarely"/>
    <n v="118"/>
    <x v="0"/>
    <x v="24"/>
    <n v="2"/>
    <s v="Life Sciences"/>
    <n v="1"/>
    <n v="1598"/>
    <n v="4"/>
    <s v="Female"/>
    <n v="84"/>
    <n v="3"/>
    <n v="2"/>
    <x v="0"/>
    <x v="3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  <x v="0"/>
    <x v="0"/>
    <x v="2"/>
  </r>
  <r>
    <n v="43"/>
    <x v="1"/>
    <s v="Travel_Rarely"/>
    <n v="990"/>
    <x v="1"/>
    <x v="6"/>
    <n v="3"/>
    <s v="Technical Degree"/>
    <n v="1"/>
    <n v="1599"/>
    <n v="4"/>
    <s v="Male"/>
    <n v="87"/>
    <n v="4"/>
    <n v="1"/>
    <x v="2"/>
    <x v="1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  <x v="0"/>
    <x v="0"/>
    <x v="0"/>
  </r>
  <r>
    <n v="35"/>
    <x v="1"/>
    <s v="Travel_Rarely"/>
    <n v="1349"/>
    <x v="1"/>
    <x v="15"/>
    <n v="2"/>
    <s v="Life Sciences"/>
    <n v="1"/>
    <n v="1601"/>
    <n v="3"/>
    <s v="Male"/>
    <n v="63"/>
    <n v="2"/>
    <n v="1"/>
    <x v="2"/>
    <x v="0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  <x v="2"/>
    <x v="1"/>
    <x v="1"/>
  </r>
  <r>
    <n v="46"/>
    <x v="1"/>
    <s v="Travel_Rarely"/>
    <n v="563"/>
    <x v="0"/>
    <x v="0"/>
    <n v="4"/>
    <s v="Life Sciences"/>
    <n v="1"/>
    <n v="1602"/>
    <n v="4"/>
    <s v="Male"/>
    <n v="56"/>
    <n v="4"/>
    <n v="4"/>
    <x v="5"/>
    <x v="3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  <x v="1"/>
    <x v="2"/>
    <x v="3"/>
  </r>
  <r>
    <n v="28"/>
    <x v="0"/>
    <s v="Travel_Rarely"/>
    <n v="329"/>
    <x v="1"/>
    <x v="4"/>
    <n v="3"/>
    <s v="Medical"/>
    <n v="1"/>
    <n v="1604"/>
    <n v="3"/>
    <s v="Male"/>
    <n v="51"/>
    <n v="3"/>
    <n v="1"/>
    <x v="2"/>
    <x v="1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  <x v="2"/>
    <x v="1"/>
    <x v="1"/>
  </r>
  <r>
    <n v="22"/>
    <x v="1"/>
    <s v="Non-Travel"/>
    <n v="457"/>
    <x v="1"/>
    <x v="9"/>
    <n v="2"/>
    <s v="Other"/>
    <n v="1"/>
    <n v="1605"/>
    <n v="2"/>
    <s v="Female"/>
    <n v="85"/>
    <n v="2"/>
    <n v="1"/>
    <x v="1"/>
    <x v="2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  <x v="3"/>
    <x v="1"/>
    <x v="2"/>
  </r>
  <r>
    <n v="50"/>
    <x v="1"/>
    <s v="Travel_Frequently"/>
    <n v="1234"/>
    <x v="1"/>
    <x v="25"/>
    <n v="5"/>
    <s v="Medical"/>
    <n v="1"/>
    <n v="1606"/>
    <n v="2"/>
    <s v="Male"/>
    <n v="41"/>
    <n v="3"/>
    <n v="4"/>
    <x v="4"/>
    <x v="2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  <x v="1"/>
    <x v="2"/>
    <x v="3"/>
  </r>
  <r>
    <n v="32"/>
    <x v="1"/>
    <s v="Travel_Rarely"/>
    <n v="634"/>
    <x v="1"/>
    <x v="12"/>
    <n v="4"/>
    <s v="Other"/>
    <n v="1"/>
    <n v="1607"/>
    <n v="2"/>
    <s v="Female"/>
    <n v="35"/>
    <n v="4"/>
    <n v="1"/>
    <x v="1"/>
    <x v="0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  <x v="2"/>
    <x v="0"/>
    <x v="2"/>
  </r>
  <r>
    <n v="44"/>
    <x v="1"/>
    <s v="Travel_Rarely"/>
    <n v="1313"/>
    <x v="1"/>
    <x v="15"/>
    <n v="3"/>
    <s v="Medical"/>
    <n v="1"/>
    <n v="1608"/>
    <n v="2"/>
    <s v="Female"/>
    <n v="31"/>
    <n v="3"/>
    <n v="5"/>
    <x v="7"/>
    <x v="0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  <x v="0"/>
    <x v="2"/>
    <x v="3"/>
  </r>
  <r>
    <n v="30"/>
    <x v="1"/>
    <s v="Travel_Rarely"/>
    <n v="241"/>
    <x v="1"/>
    <x v="15"/>
    <n v="3"/>
    <s v="Medical"/>
    <n v="1"/>
    <n v="1609"/>
    <n v="2"/>
    <s v="Male"/>
    <n v="48"/>
    <n v="2"/>
    <n v="1"/>
    <x v="1"/>
    <x v="1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  <x v="2"/>
    <x v="1"/>
    <x v="0"/>
  </r>
  <r>
    <n v="45"/>
    <x v="1"/>
    <s v="Travel_Rarely"/>
    <n v="1015"/>
    <x v="1"/>
    <x v="12"/>
    <n v="5"/>
    <s v="Medical"/>
    <n v="1"/>
    <n v="1611"/>
    <n v="3"/>
    <s v="Female"/>
    <n v="50"/>
    <n v="1"/>
    <n v="2"/>
    <x v="2"/>
    <x v="3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  <x v="0"/>
    <x v="0"/>
    <x v="0"/>
  </r>
  <r>
    <n v="45"/>
    <x v="1"/>
    <s v="Non-Travel"/>
    <n v="336"/>
    <x v="0"/>
    <x v="9"/>
    <n v="3"/>
    <s v="Marketing"/>
    <n v="1"/>
    <n v="1612"/>
    <n v="1"/>
    <s v="Male"/>
    <n v="52"/>
    <n v="2"/>
    <n v="2"/>
    <x v="0"/>
    <x v="3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  <x v="0"/>
    <x v="0"/>
    <x v="0"/>
  </r>
  <r>
    <n v="31"/>
    <x v="1"/>
    <s v="Travel_Frequently"/>
    <n v="715"/>
    <x v="0"/>
    <x v="2"/>
    <n v="4"/>
    <s v="Other"/>
    <n v="1"/>
    <n v="1613"/>
    <n v="4"/>
    <s v="Male"/>
    <n v="54"/>
    <n v="3"/>
    <n v="2"/>
    <x v="0"/>
    <x v="3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  <x v="2"/>
    <x v="0"/>
    <x v="2"/>
  </r>
  <r>
    <n v="36"/>
    <x v="1"/>
    <s v="Travel_Rarely"/>
    <n v="559"/>
    <x v="1"/>
    <x v="20"/>
    <n v="4"/>
    <s v="Life Sciences"/>
    <n v="1"/>
    <n v="1614"/>
    <n v="3"/>
    <s v="Female"/>
    <n v="76"/>
    <n v="3"/>
    <n v="2"/>
    <x v="3"/>
    <x v="2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  <x v="0"/>
    <x v="0"/>
    <x v="2"/>
  </r>
  <r>
    <n v="34"/>
    <x v="1"/>
    <s v="Travel_Frequently"/>
    <n v="426"/>
    <x v="1"/>
    <x v="17"/>
    <n v="4"/>
    <s v="Life Sciences"/>
    <n v="1"/>
    <n v="1615"/>
    <n v="3"/>
    <s v="Male"/>
    <n v="42"/>
    <n v="4"/>
    <n v="2"/>
    <x v="3"/>
    <x v="0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  <x v="2"/>
    <x v="0"/>
    <x v="0"/>
  </r>
  <r>
    <n v="49"/>
    <x v="1"/>
    <s v="Travel_Rarely"/>
    <n v="722"/>
    <x v="1"/>
    <x v="19"/>
    <n v="4"/>
    <s v="Life Sciences"/>
    <n v="1"/>
    <n v="1617"/>
    <n v="3"/>
    <s v="Female"/>
    <n v="84"/>
    <n v="3"/>
    <n v="1"/>
    <x v="2"/>
    <x v="3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  <x v="1"/>
    <x v="0"/>
    <x v="0"/>
  </r>
  <r>
    <n v="39"/>
    <x v="1"/>
    <s v="Travel_Rarely"/>
    <n v="1387"/>
    <x v="1"/>
    <x v="17"/>
    <n v="5"/>
    <s v="Medical"/>
    <n v="1"/>
    <n v="1618"/>
    <n v="2"/>
    <s v="Male"/>
    <n v="76"/>
    <n v="3"/>
    <n v="2"/>
    <x v="3"/>
    <x v="3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  <x v="0"/>
    <x v="0"/>
    <x v="0"/>
  </r>
  <r>
    <n v="27"/>
    <x v="1"/>
    <s v="Travel_Rarely"/>
    <n v="1302"/>
    <x v="1"/>
    <x v="10"/>
    <n v="3"/>
    <s v="Other"/>
    <n v="1"/>
    <n v="1619"/>
    <n v="4"/>
    <s v="Male"/>
    <n v="67"/>
    <n v="2"/>
    <n v="1"/>
    <x v="2"/>
    <x v="3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  <x v="2"/>
    <x v="0"/>
    <x v="0"/>
  </r>
  <r>
    <n v="35"/>
    <x v="1"/>
    <s v="Travel_Rarely"/>
    <n v="819"/>
    <x v="1"/>
    <x v="21"/>
    <n v="5"/>
    <s v="Life Sciences"/>
    <n v="1"/>
    <n v="1621"/>
    <n v="2"/>
    <s v="Male"/>
    <n v="48"/>
    <n v="4"/>
    <n v="2"/>
    <x v="1"/>
    <x v="3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  <x v="2"/>
    <x v="0"/>
    <x v="3"/>
  </r>
  <r>
    <n v="28"/>
    <x v="1"/>
    <s v="Travel_Rarely"/>
    <n v="580"/>
    <x v="1"/>
    <x v="6"/>
    <n v="3"/>
    <s v="Medical"/>
    <n v="1"/>
    <n v="1622"/>
    <n v="2"/>
    <s v="Female"/>
    <n v="39"/>
    <n v="1"/>
    <n v="2"/>
    <x v="3"/>
    <x v="3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  <x v="2"/>
    <x v="0"/>
    <x v="2"/>
  </r>
  <r>
    <n v="21"/>
    <x v="1"/>
    <s v="Travel_Rarely"/>
    <n v="546"/>
    <x v="1"/>
    <x v="12"/>
    <n v="1"/>
    <s v="Medical"/>
    <n v="1"/>
    <n v="1623"/>
    <n v="3"/>
    <s v="Male"/>
    <n v="97"/>
    <n v="3"/>
    <n v="1"/>
    <x v="1"/>
    <x v="0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  <x v="3"/>
    <x v="0"/>
    <x v="1"/>
  </r>
  <r>
    <n v="18"/>
    <x v="0"/>
    <s v="Travel_Frequently"/>
    <n v="544"/>
    <x v="0"/>
    <x v="3"/>
    <n v="2"/>
    <s v="Medical"/>
    <n v="1"/>
    <n v="1624"/>
    <n v="2"/>
    <s v="Female"/>
    <n v="70"/>
    <n v="3"/>
    <n v="1"/>
    <x v="6"/>
    <x v="0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  <x v="3"/>
    <x v="1"/>
    <x v="1"/>
  </r>
  <r>
    <n v="47"/>
    <x v="1"/>
    <s v="Travel_Rarely"/>
    <n v="1176"/>
    <x v="2"/>
    <x v="9"/>
    <n v="4"/>
    <s v="Life Sciences"/>
    <n v="1"/>
    <n v="1625"/>
    <n v="4"/>
    <s v="Female"/>
    <n v="98"/>
    <n v="3"/>
    <n v="5"/>
    <x v="5"/>
    <x v="2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  <x v="1"/>
    <x v="2"/>
    <x v="2"/>
  </r>
  <r>
    <n v="39"/>
    <x v="1"/>
    <s v="Travel_Rarely"/>
    <n v="170"/>
    <x v="1"/>
    <x v="3"/>
    <n v="2"/>
    <s v="Medical"/>
    <n v="1"/>
    <n v="1627"/>
    <n v="3"/>
    <s v="Male"/>
    <n v="76"/>
    <n v="2"/>
    <n v="2"/>
    <x v="2"/>
    <x v="2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  <x v="0"/>
    <x v="0"/>
    <x v="0"/>
  </r>
  <r>
    <n v="40"/>
    <x v="1"/>
    <s v="Travel_Rarely"/>
    <n v="884"/>
    <x v="1"/>
    <x v="8"/>
    <n v="3"/>
    <s v="Life Sciences"/>
    <n v="1"/>
    <n v="1628"/>
    <n v="1"/>
    <s v="Female"/>
    <n v="80"/>
    <n v="2"/>
    <n v="3"/>
    <x v="3"/>
    <x v="2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  <x v="0"/>
    <x v="2"/>
    <x v="3"/>
  </r>
  <r>
    <n v="35"/>
    <x v="1"/>
    <s v="Non-Travel"/>
    <n v="208"/>
    <x v="1"/>
    <x v="1"/>
    <n v="4"/>
    <s v="Life Sciences"/>
    <n v="1"/>
    <n v="1630"/>
    <n v="3"/>
    <s v="Female"/>
    <n v="52"/>
    <n v="3"/>
    <n v="2"/>
    <x v="4"/>
    <x v="2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  <x v="2"/>
    <x v="0"/>
    <x v="3"/>
  </r>
  <r>
    <n v="37"/>
    <x v="1"/>
    <s v="Travel_Rarely"/>
    <n v="671"/>
    <x v="1"/>
    <x v="10"/>
    <n v="3"/>
    <s v="Life Sciences"/>
    <n v="1"/>
    <n v="1631"/>
    <n v="3"/>
    <s v="Male"/>
    <n v="85"/>
    <n v="3"/>
    <n v="2"/>
    <x v="3"/>
    <x v="2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  <x v="0"/>
    <x v="0"/>
    <x v="2"/>
  </r>
  <r>
    <n v="39"/>
    <x v="1"/>
    <s v="Travel_Frequently"/>
    <n v="711"/>
    <x v="1"/>
    <x v="18"/>
    <n v="3"/>
    <s v="Medical"/>
    <n v="1"/>
    <n v="1633"/>
    <n v="1"/>
    <s v="Female"/>
    <n v="81"/>
    <n v="3"/>
    <n v="2"/>
    <x v="3"/>
    <x v="2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  <x v="0"/>
    <x v="0"/>
    <x v="0"/>
  </r>
  <r>
    <n v="45"/>
    <x v="1"/>
    <s v="Travel_Rarely"/>
    <n v="1329"/>
    <x v="1"/>
    <x v="2"/>
    <n v="2"/>
    <s v="Other"/>
    <n v="1"/>
    <n v="1635"/>
    <n v="4"/>
    <s v="Female"/>
    <n v="59"/>
    <n v="2"/>
    <n v="2"/>
    <x v="3"/>
    <x v="0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  <x v="0"/>
    <x v="0"/>
    <x v="0"/>
  </r>
  <r>
    <n v="38"/>
    <x v="1"/>
    <s v="Travel_Rarely"/>
    <n v="397"/>
    <x v="1"/>
    <x v="2"/>
    <n v="2"/>
    <s v="Medical"/>
    <n v="1"/>
    <n v="1638"/>
    <n v="4"/>
    <s v="Female"/>
    <n v="54"/>
    <n v="2"/>
    <n v="3"/>
    <x v="3"/>
    <x v="2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  <x v="0"/>
    <x v="2"/>
    <x v="2"/>
  </r>
  <r>
    <n v="35"/>
    <x v="0"/>
    <s v="Travel_Rarely"/>
    <n v="737"/>
    <x v="0"/>
    <x v="17"/>
    <n v="3"/>
    <s v="Medical"/>
    <n v="1"/>
    <n v="1639"/>
    <n v="4"/>
    <s v="Male"/>
    <n v="55"/>
    <n v="2"/>
    <n v="3"/>
    <x v="0"/>
    <x v="3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  <x v="2"/>
    <x v="2"/>
    <x v="3"/>
  </r>
  <r>
    <n v="37"/>
    <x v="1"/>
    <s v="Travel_Rarely"/>
    <n v="1470"/>
    <x v="1"/>
    <x v="17"/>
    <n v="3"/>
    <s v="Medical"/>
    <n v="1"/>
    <n v="1640"/>
    <n v="2"/>
    <s v="Female"/>
    <n v="71"/>
    <n v="3"/>
    <n v="1"/>
    <x v="1"/>
    <x v="1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  <x v="0"/>
    <x v="0"/>
    <x v="0"/>
  </r>
  <r>
    <n v="40"/>
    <x v="1"/>
    <s v="Travel_Rarely"/>
    <n v="448"/>
    <x v="1"/>
    <x v="7"/>
    <n v="3"/>
    <s v="Life Sciences"/>
    <n v="1"/>
    <n v="1641"/>
    <n v="3"/>
    <s v="Female"/>
    <n v="84"/>
    <n v="3"/>
    <n v="3"/>
    <x v="3"/>
    <x v="0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  <x v="0"/>
    <x v="2"/>
    <x v="2"/>
  </r>
  <r>
    <n v="44"/>
    <x v="1"/>
    <s v="Travel_Frequently"/>
    <n v="602"/>
    <x v="2"/>
    <x v="0"/>
    <n v="5"/>
    <s v="Human Resources"/>
    <n v="1"/>
    <n v="1642"/>
    <n v="1"/>
    <s v="Male"/>
    <n v="37"/>
    <n v="3"/>
    <n v="2"/>
    <x v="8"/>
    <x v="0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  <x v="0"/>
    <x v="0"/>
    <x v="0"/>
  </r>
  <r>
    <n v="48"/>
    <x v="1"/>
    <s v="Travel_Frequently"/>
    <n v="365"/>
    <x v="1"/>
    <x v="18"/>
    <n v="5"/>
    <s v="Medical"/>
    <n v="1"/>
    <n v="1644"/>
    <n v="3"/>
    <s v="Male"/>
    <n v="89"/>
    <n v="2"/>
    <n v="4"/>
    <x v="5"/>
    <x v="0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  <x v="1"/>
    <x v="2"/>
    <x v="1"/>
  </r>
  <r>
    <n v="35"/>
    <x v="0"/>
    <s v="Travel_Rarely"/>
    <n v="763"/>
    <x v="0"/>
    <x v="8"/>
    <n v="2"/>
    <s v="Medical"/>
    <n v="1"/>
    <n v="1645"/>
    <n v="1"/>
    <s v="Male"/>
    <n v="59"/>
    <n v="1"/>
    <n v="2"/>
    <x v="0"/>
    <x v="0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  <x v="2"/>
    <x v="0"/>
    <x v="1"/>
  </r>
  <r>
    <n v="24"/>
    <x v="1"/>
    <s v="Travel_Frequently"/>
    <n v="567"/>
    <x v="1"/>
    <x v="2"/>
    <n v="1"/>
    <s v="Technical Degree"/>
    <n v="1"/>
    <n v="1646"/>
    <n v="1"/>
    <s v="Female"/>
    <n v="32"/>
    <n v="3"/>
    <n v="1"/>
    <x v="1"/>
    <x v="0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  <x v="3"/>
    <x v="0"/>
    <x v="0"/>
  </r>
  <r>
    <n v="27"/>
    <x v="1"/>
    <s v="Travel_Rarely"/>
    <n v="486"/>
    <x v="1"/>
    <x v="1"/>
    <n v="3"/>
    <s v="Medical"/>
    <n v="1"/>
    <n v="1647"/>
    <n v="2"/>
    <s v="Female"/>
    <n v="86"/>
    <n v="4"/>
    <n v="1"/>
    <x v="1"/>
    <x v="2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  <x v="2"/>
    <x v="0"/>
    <x v="2"/>
  </r>
  <r>
    <n v="27"/>
    <x v="1"/>
    <s v="Travel_Frequently"/>
    <n v="591"/>
    <x v="1"/>
    <x v="2"/>
    <n v="3"/>
    <s v="Medical"/>
    <n v="1"/>
    <n v="1648"/>
    <n v="4"/>
    <s v="Male"/>
    <n v="87"/>
    <n v="3"/>
    <n v="1"/>
    <x v="1"/>
    <x v="0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  <x v="2"/>
    <x v="1"/>
    <x v="2"/>
  </r>
  <r>
    <n v="40"/>
    <x v="0"/>
    <s v="Travel_Rarely"/>
    <n v="1329"/>
    <x v="1"/>
    <x v="15"/>
    <n v="3"/>
    <s v="Life Sciences"/>
    <n v="1"/>
    <n v="1649"/>
    <n v="1"/>
    <s v="Male"/>
    <n v="73"/>
    <n v="3"/>
    <n v="1"/>
    <x v="2"/>
    <x v="3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  <x v="0"/>
    <x v="1"/>
    <x v="2"/>
  </r>
  <r>
    <n v="29"/>
    <x v="1"/>
    <s v="Travel_Rarely"/>
    <n v="469"/>
    <x v="0"/>
    <x v="17"/>
    <n v="3"/>
    <s v="Medical"/>
    <n v="1"/>
    <n v="1650"/>
    <n v="3"/>
    <s v="Male"/>
    <n v="42"/>
    <n v="2"/>
    <n v="2"/>
    <x v="0"/>
    <x v="2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  <x v="2"/>
    <x v="0"/>
    <x v="2"/>
  </r>
  <r>
    <n v="36"/>
    <x v="1"/>
    <s v="Travel_Rarely"/>
    <n v="711"/>
    <x v="1"/>
    <x v="12"/>
    <n v="4"/>
    <s v="Life Sciences"/>
    <n v="1"/>
    <n v="1651"/>
    <n v="2"/>
    <s v="Female"/>
    <n v="42"/>
    <n v="3"/>
    <n v="3"/>
    <x v="4"/>
    <x v="3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  <x v="0"/>
    <x v="2"/>
    <x v="2"/>
  </r>
  <r>
    <n v="25"/>
    <x v="1"/>
    <s v="Travel_Frequently"/>
    <n v="772"/>
    <x v="1"/>
    <x v="2"/>
    <n v="1"/>
    <s v="Life Sciences"/>
    <n v="1"/>
    <n v="1653"/>
    <n v="4"/>
    <s v="Male"/>
    <n v="77"/>
    <n v="4"/>
    <n v="2"/>
    <x v="3"/>
    <x v="2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  <x v="3"/>
    <x v="0"/>
    <x v="0"/>
  </r>
  <r>
    <n v="39"/>
    <x v="1"/>
    <s v="Travel_Rarely"/>
    <n v="492"/>
    <x v="1"/>
    <x v="20"/>
    <n v="3"/>
    <s v="Medical"/>
    <n v="1"/>
    <n v="1654"/>
    <n v="4"/>
    <s v="Male"/>
    <n v="66"/>
    <n v="3"/>
    <n v="2"/>
    <x v="3"/>
    <x v="1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  <x v="0"/>
    <x v="0"/>
    <x v="2"/>
  </r>
  <r>
    <n v="49"/>
    <x v="1"/>
    <s v="Travel_Rarely"/>
    <n v="301"/>
    <x v="1"/>
    <x v="23"/>
    <n v="4"/>
    <s v="Other"/>
    <n v="1"/>
    <n v="1655"/>
    <n v="1"/>
    <s v="Female"/>
    <n v="72"/>
    <n v="3"/>
    <n v="4"/>
    <x v="7"/>
    <x v="1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  <x v="1"/>
    <x v="2"/>
    <x v="2"/>
  </r>
  <r>
    <n v="50"/>
    <x v="1"/>
    <s v="Travel_Rarely"/>
    <n v="813"/>
    <x v="1"/>
    <x v="27"/>
    <n v="5"/>
    <s v="Life Sciences"/>
    <n v="1"/>
    <n v="1656"/>
    <n v="4"/>
    <s v="Female"/>
    <n v="50"/>
    <n v="2"/>
    <n v="3"/>
    <x v="7"/>
    <x v="3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  <x v="1"/>
    <x v="2"/>
    <x v="3"/>
  </r>
  <r>
    <n v="20"/>
    <x v="1"/>
    <s v="Travel_Rarely"/>
    <n v="1141"/>
    <x v="0"/>
    <x v="2"/>
    <n v="3"/>
    <s v="Medical"/>
    <n v="1"/>
    <n v="1657"/>
    <n v="3"/>
    <s v="Female"/>
    <n v="31"/>
    <n v="3"/>
    <n v="1"/>
    <x v="6"/>
    <x v="2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  <x v="3"/>
    <x v="1"/>
    <x v="1"/>
  </r>
  <r>
    <n v="34"/>
    <x v="1"/>
    <s v="Travel_Rarely"/>
    <n v="1130"/>
    <x v="1"/>
    <x v="3"/>
    <n v="3"/>
    <s v="Life Sciences"/>
    <n v="1"/>
    <n v="1658"/>
    <n v="4"/>
    <s v="Female"/>
    <n v="66"/>
    <n v="3"/>
    <n v="2"/>
    <x v="1"/>
    <x v="1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  <x v="2"/>
    <x v="0"/>
    <x v="3"/>
  </r>
  <r>
    <n v="36"/>
    <x v="1"/>
    <s v="Travel_Rarely"/>
    <n v="311"/>
    <x v="1"/>
    <x v="15"/>
    <n v="3"/>
    <s v="Life Sciences"/>
    <n v="1"/>
    <n v="1659"/>
    <n v="1"/>
    <s v="Male"/>
    <n v="77"/>
    <n v="3"/>
    <n v="1"/>
    <x v="2"/>
    <x v="1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  <x v="0"/>
    <x v="1"/>
    <x v="2"/>
  </r>
  <r>
    <n v="49"/>
    <x v="1"/>
    <s v="Travel_Rarely"/>
    <n v="465"/>
    <x v="1"/>
    <x v="16"/>
    <n v="1"/>
    <s v="Life Sciences"/>
    <n v="1"/>
    <n v="1661"/>
    <n v="3"/>
    <s v="Female"/>
    <n v="41"/>
    <n v="2"/>
    <n v="4"/>
    <x v="4"/>
    <x v="2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  <x v="1"/>
    <x v="2"/>
    <x v="3"/>
  </r>
  <r>
    <n v="36"/>
    <x v="1"/>
    <s v="Non-Travel"/>
    <n v="894"/>
    <x v="1"/>
    <x v="0"/>
    <n v="4"/>
    <s v="Medical"/>
    <n v="1"/>
    <n v="1662"/>
    <n v="4"/>
    <s v="Female"/>
    <n v="33"/>
    <n v="2"/>
    <n v="2"/>
    <x v="3"/>
    <x v="2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  <x v="0"/>
    <x v="0"/>
    <x v="2"/>
  </r>
  <r>
    <n v="36"/>
    <x v="1"/>
    <s v="Travel_Rarely"/>
    <n v="1040"/>
    <x v="1"/>
    <x v="3"/>
    <n v="2"/>
    <s v="Life Sciences"/>
    <n v="1"/>
    <n v="1664"/>
    <n v="4"/>
    <s v="Male"/>
    <n v="79"/>
    <n v="4"/>
    <n v="2"/>
    <x v="4"/>
    <x v="3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  <x v="0"/>
    <x v="0"/>
    <x v="2"/>
  </r>
  <r>
    <n v="54"/>
    <x v="1"/>
    <s v="Travel_Rarely"/>
    <n v="584"/>
    <x v="1"/>
    <x v="23"/>
    <n v="5"/>
    <s v="Medical"/>
    <n v="1"/>
    <n v="1665"/>
    <n v="2"/>
    <s v="Female"/>
    <n v="91"/>
    <n v="3"/>
    <n v="4"/>
    <x v="5"/>
    <x v="2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  <x v="1"/>
    <x v="2"/>
    <x v="0"/>
  </r>
  <r>
    <n v="43"/>
    <x v="1"/>
    <s v="Travel_Rarely"/>
    <n v="1291"/>
    <x v="1"/>
    <x v="8"/>
    <n v="2"/>
    <s v="Life Sciences"/>
    <n v="1"/>
    <n v="1666"/>
    <n v="3"/>
    <s v="Male"/>
    <n v="65"/>
    <n v="2"/>
    <n v="4"/>
    <x v="7"/>
    <x v="2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  <x v="0"/>
    <x v="2"/>
    <x v="3"/>
  </r>
  <r>
    <n v="35"/>
    <x v="0"/>
    <s v="Travel_Frequently"/>
    <n v="880"/>
    <x v="0"/>
    <x v="20"/>
    <n v="4"/>
    <s v="Other"/>
    <n v="1"/>
    <n v="1667"/>
    <n v="4"/>
    <s v="Male"/>
    <n v="36"/>
    <n v="3"/>
    <n v="2"/>
    <x v="0"/>
    <x v="0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  <x v="2"/>
    <x v="0"/>
    <x v="3"/>
  </r>
  <r>
    <n v="38"/>
    <x v="1"/>
    <s v="Travel_Frequently"/>
    <n v="1189"/>
    <x v="1"/>
    <x v="0"/>
    <n v="3"/>
    <s v="Life Sciences"/>
    <n v="1"/>
    <n v="1668"/>
    <n v="4"/>
    <s v="Male"/>
    <n v="90"/>
    <n v="3"/>
    <n v="2"/>
    <x v="1"/>
    <x v="0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  <x v="0"/>
    <x v="0"/>
    <x v="3"/>
  </r>
  <r>
    <n v="29"/>
    <x v="1"/>
    <s v="Travel_Rarely"/>
    <n v="991"/>
    <x v="0"/>
    <x v="12"/>
    <n v="3"/>
    <s v="Medical"/>
    <n v="1"/>
    <n v="1669"/>
    <n v="1"/>
    <s v="Male"/>
    <n v="43"/>
    <n v="2"/>
    <n v="2"/>
    <x v="0"/>
    <x v="1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  <x v="2"/>
    <x v="0"/>
    <x v="0"/>
  </r>
  <r>
    <n v="33"/>
    <x v="1"/>
    <s v="Travel_Rarely"/>
    <n v="392"/>
    <x v="0"/>
    <x v="2"/>
    <n v="4"/>
    <s v="Medical"/>
    <n v="1"/>
    <n v="1670"/>
    <n v="4"/>
    <s v="Male"/>
    <n v="93"/>
    <n v="3"/>
    <n v="2"/>
    <x v="0"/>
    <x v="0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  <x v="2"/>
    <x v="0"/>
    <x v="0"/>
  </r>
  <r>
    <n v="32"/>
    <x v="1"/>
    <s v="Travel_Rarely"/>
    <n v="977"/>
    <x v="1"/>
    <x v="2"/>
    <n v="3"/>
    <s v="Medical"/>
    <n v="1"/>
    <n v="1671"/>
    <n v="4"/>
    <s v="Male"/>
    <n v="45"/>
    <n v="3"/>
    <n v="2"/>
    <x v="1"/>
    <x v="1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  <x v="2"/>
    <x v="0"/>
    <x v="0"/>
  </r>
  <r>
    <n v="31"/>
    <x v="1"/>
    <s v="Travel_Rarely"/>
    <n v="1112"/>
    <x v="0"/>
    <x v="12"/>
    <n v="4"/>
    <s v="Life Sciences"/>
    <n v="1"/>
    <n v="1673"/>
    <n v="1"/>
    <s v="Female"/>
    <n v="67"/>
    <n v="3"/>
    <n v="2"/>
    <x v="0"/>
    <x v="0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  <x v="2"/>
    <x v="0"/>
    <x v="0"/>
  </r>
  <r>
    <n v="49"/>
    <x v="1"/>
    <s v="Travel_Rarely"/>
    <n v="464"/>
    <x v="1"/>
    <x v="7"/>
    <n v="3"/>
    <s v="Medical"/>
    <n v="1"/>
    <n v="1674"/>
    <n v="4"/>
    <s v="Female"/>
    <n v="74"/>
    <n v="3"/>
    <n v="1"/>
    <x v="2"/>
    <x v="3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  <x v="1"/>
    <x v="1"/>
    <x v="1"/>
  </r>
  <r>
    <n v="38"/>
    <x v="1"/>
    <s v="Travel_Frequently"/>
    <n v="148"/>
    <x v="1"/>
    <x v="2"/>
    <n v="3"/>
    <s v="Medical"/>
    <n v="1"/>
    <n v="1675"/>
    <n v="4"/>
    <s v="Female"/>
    <n v="42"/>
    <n v="2"/>
    <n v="1"/>
    <x v="2"/>
    <x v="1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  <x v="0"/>
    <x v="1"/>
    <x v="2"/>
  </r>
  <r>
    <n v="47"/>
    <x v="1"/>
    <s v="Travel_Rarely"/>
    <n v="1225"/>
    <x v="0"/>
    <x v="2"/>
    <n v="4"/>
    <s v="Life Sciences"/>
    <n v="1"/>
    <n v="1676"/>
    <n v="2"/>
    <s v="Female"/>
    <n v="47"/>
    <n v="4"/>
    <n v="4"/>
    <x v="5"/>
    <x v="1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  <x v="1"/>
    <x v="2"/>
    <x v="2"/>
  </r>
  <r>
    <n v="49"/>
    <x v="1"/>
    <s v="Travel_Rarely"/>
    <n v="809"/>
    <x v="1"/>
    <x v="0"/>
    <n v="3"/>
    <s v="Life Sciences"/>
    <n v="1"/>
    <n v="1677"/>
    <n v="3"/>
    <s v="Male"/>
    <n v="36"/>
    <n v="3"/>
    <n v="4"/>
    <x v="5"/>
    <x v="2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  <x v="1"/>
    <x v="2"/>
    <x v="0"/>
  </r>
  <r>
    <n v="41"/>
    <x v="1"/>
    <s v="Travel_Rarely"/>
    <n v="1206"/>
    <x v="0"/>
    <x v="5"/>
    <n v="2"/>
    <s v="Life Sciences"/>
    <n v="1"/>
    <n v="1678"/>
    <n v="4"/>
    <s v="Male"/>
    <n v="80"/>
    <n v="3"/>
    <n v="3"/>
    <x v="0"/>
    <x v="2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  <x v="0"/>
    <x v="2"/>
    <x v="1"/>
  </r>
  <r>
    <n v="20"/>
    <x v="1"/>
    <s v="Travel_Rarely"/>
    <n v="727"/>
    <x v="0"/>
    <x v="14"/>
    <n v="1"/>
    <s v="Life Sciences"/>
    <n v="1"/>
    <n v="1680"/>
    <n v="4"/>
    <s v="Male"/>
    <n v="54"/>
    <n v="3"/>
    <n v="1"/>
    <x v="6"/>
    <x v="3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  <x v="3"/>
    <x v="1"/>
    <x v="1"/>
  </r>
  <r>
    <n v="33"/>
    <x v="1"/>
    <s v="Non-Travel"/>
    <n v="530"/>
    <x v="0"/>
    <x v="7"/>
    <n v="3"/>
    <s v="Life Sciences"/>
    <n v="1"/>
    <n v="1681"/>
    <n v="3"/>
    <s v="Female"/>
    <n v="36"/>
    <n v="3"/>
    <n v="2"/>
    <x v="0"/>
    <x v="0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  <x v="2"/>
    <x v="0"/>
    <x v="0"/>
  </r>
  <r>
    <n v="36"/>
    <x v="1"/>
    <s v="Travel_Rarely"/>
    <n v="1351"/>
    <x v="1"/>
    <x v="9"/>
    <n v="4"/>
    <s v="Life Sciences"/>
    <n v="1"/>
    <n v="1682"/>
    <n v="1"/>
    <s v="Male"/>
    <n v="80"/>
    <n v="3"/>
    <n v="2"/>
    <x v="4"/>
    <x v="2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  <x v="0"/>
    <x v="0"/>
    <x v="2"/>
  </r>
  <r>
    <n v="44"/>
    <x v="1"/>
    <s v="Travel_Rarely"/>
    <n v="528"/>
    <x v="2"/>
    <x v="0"/>
    <n v="3"/>
    <s v="Life Sciences"/>
    <n v="1"/>
    <n v="1683"/>
    <n v="3"/>
    <s v="Female"/>
    <n v="44"/>
    <n v="3"/>
    <n v="1"/>
    <x v="8"/>
    <x v="0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  <x v="0"/>
    <x v="0"/>
    <x v="1"/>
  </r>
  <r>
    <n v="23"/>
    <x v="0"/>
    <s v="Travel_Rarely"/>
    <n v="1320"/>
    <x v="1"/>
    <x v="1"/>
    <n v="1"/>
    <s v="Medical"/>
    <n v="1"/>
    <n v="1684"/>
    <n v="4"/>
    <s v="Male"/>
    <n v="93"/>
    <n v="2"/>
    <n v="1"/>
    <x v="2"/>
    <x v="2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  <x v="3"/>
    <x v="0"/>
    <x v="2"/>
  </r>
  <r>
    <n v="38"/>
    <x v="1"/>
    <s v="Travel_Rarely"/>
    <n v="1495"/>
    <x v="1"/>
    <x v="18"/>
    <n v="2"/>
    <s v="Medical"/>
    <n v="1"/>
    <n v="1687"/>
    <n v="4"/>
    <s v="Female"/>
    <n v="87"/>
    <n v="3"/>
    <n v="1"/>
    <x v="2"/>
    <x v="2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  <x v="0"/>
    <x v="0"/>
    <x v="1"/>
  </r>
  <r>
    <n v="53"/>
    <x v="1"/>
    <s v="Travel_Rarely"/>
    <n v="1395"/>
    <x v="1"/>
    <x v="4"/>
    <n v="4"/>
    <s v="Medical"/>
    <n v="1"/>
    <n v="1689"/>
    <n v="2"/>
    <s v="Male"/>
    <n v="48"/>
    <n v="4"/>
    <n v="3"/>
    <x v="4"/>
    <x v="0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  <x v="1"/>
    <x v="2"/>
    <x v="2"/>
  </r>
  <r>
    <n v="48"/>
    <x v="0"/>
    <s v="Travel_Frequently"/>
    <n v="708"/>
    <x v="0"/>
    <x v="15"/>
    <n v="2"/>
    <s v="Medical"/>
    <n v="1"/>
    <n v="1691"/>
    <n v="4"/>
    <s v="Female"/>
    <n v="95"/>
    <n v="3"/>
    <n v="1"/>
    <x v="6"/>
    <x v="2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  <x v="1"/>
    <x v="1"/>
    <x v="0"/>
  </r>
  <r>
    <n v="32"/>
    <x v="0"/>
    <s v="Travel_Rarely"/>
    <n v="1259"/>
    <x v="1"/>
    <x v="2"/>
    <n v="4"/>
    <s v="Life Sciences"/>
    <n v="1"/>
    <n v="1692"/>
    <n v="4"/>
    <s v="Male"/>
    <n v="95"/>
    <n v="3"/>
    <n v="1"/>
    <x v="2"/>
    <x v="1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  <x v="2"/>
    <x v="1"/>
    <x v="1"/>
  </r>
  <r>
    <n v="26"/>
    <x v="1"/>
    <s v="Non-Travel"/>
    <n v="786"/>
    <x v="1"/>
    <x v="15"/>
    <n v="3"/>
    <s v="Medical"/>
    <n v="1"/>
    <n v="1693"/>
    <n v="4"/>
    <s v="Male"/>
    <n v="76"/>
    <n v="3"/>
    <n v="1"/>
    <x v="2"/>
    <x v="0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  <x v="2"/>
    <x v="1"/>
    <x v="0"/>
  </r>
  <r>
    <n v="55"/>
    <x v="1"/>
    <s v="Travel_Rarely"/>
    <n v="1441"/>
    <x v="1"/>
    <x v="23"/>
    <n v="3"/>
    <s v="Technical Degree"/>
    <n v="1"/>
    <n v="1694"/>
    <n v="1"/>
    <s v="Male"/>
    <n v="94"/>
    <n v="2"/>
    <n v="1"/>
    <x v="1"/>
    <x v="1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  <x v="1"/>
    <x v="0"/>
    <x v="2"/>
  </r>
  <r>
    <n v="34"/>
    <x v="1"/>
    <s v="Travel_Rarely"/>
    <n v="1157"/>
    <x v="1"/>
    <x v="12"/>
    <n v="2"/>
    <s v="Medical"/>
    <n v="1"/>
    <n v="1696"/>
    <n v="2"/>
    <s v="Male"/>
    <n v="57"/>
    <n v="2"/>
    <n v="2"/>
    <x v="2"/>
    <x v="0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  <x v="2"/>
    <x v="0"/>
    <x v="3"/>
  </r>
  <r>
    <n v="60"/>
    <x v="1"/>
    <s v="Travel_Rarely"/>
    <n v="370"/>
    <x v="1"/>
    <x v="0"/>
    <n v="4"/>
    <s v="Medical"/>
    <n v="1"/>
    <n v="1697"/>
    <n v="3"/>
    <s v="Male"/>
    <n v="92"/>
    <n v="1"/>
    <n v="3"/>
    <x v="4"/>
    <x v="0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  <x v="1"/>
    <x v="2"/>
    <x v="1"/>
  </r>
  <r>
    <n v="33"/>
    <x v="1"/>
    <s v="Travel_Rarely"/>
    <n v="267"/>
    <x v="1"/>
    <x v="11"/>
    <n v="3"/>
    <s v="Medical"/>
    <n v="1"/>
    <n v="1698"/>
    <n v="2"/>
    <s v="Male"/>
    <n v="79"/>
    <n v="4"/>
    <n v="1"/>
    <x v="2"/>
    <x v="1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  <x v="2"/>
    <x v="1"/>
    <x v="3"/>
  </r>
  <r>
    <n v="37"/>
    <x v="1"/>
    <s v="Travel_Frequently"/>
    <n v="1278"/>
    <x v="0"/>
    <x v="0"/>
    <n v="4"/>
    <s v="Medical"/>
    <n v="1"/>
    <n v="1700"/>
    <n v="3"/>
    <s v="Male"/>
    <n v="31"/>
    <n v="1"/>
    <n v="2"/>
    <x v="0"/>
    <x v="0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  <x v="0"/>
    <x v="2"/>
    <x v="0"/>
  </r>
  <r>
    <n v="34"/>
    <x v="1"/>
    <s v="Travel_Rarely"/>
    <n v="678"/>
    <x v="1"/>
    <x v="10"/>
    <n v="3"/>
    <s v="Life Sciences"/>
    <n v="1"/>
    <n v="1701"/>
    <n v="2"/>
    <s v="Female"/>
    <n v="35"/>
    <n v="2"/>
    <n v="1"/>
    <x v="1"/>
    <x v="0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  <x v="2"/>
    <x v="1"/>
    <x v="0"/>
  </r>
  <r>
    <n v="23"/>
    <x v="0"/>
    <s v="Travel_Rarely"/>
    <n v="427"/>
    <x v="0"/>
    <x v="15"/>
    <n v="3"/>
    <s v="Life Sciences"/>
    <n v="1"/>
    <n v="1702"/>
    <n v="3"/>
    <s v="Male"/>
    <n v="99"/>
    <n v="3"/>
    <n v="1"/>
    <x v="6"/>
    <x v="0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  <x v="3"/>
    <x v="1"/>
    <x v="2"/>
  </r>
  <r>
    <n v="44"/>
    <x v="1"/>
    <s v="Travel_Rarely"/>
    <n v="921"/>
    <x v="1"/>
    <x v="2"/>
    <n v="3"/>
    <s v="Life Sciences"/>
    <n v="1"/>
    <n v="1703"/>
    <n v="3"/>
    <s v="Female"/>
    <n v="96"/>
    <n v="4"/>
    <n v="3"/>
    <x v="4"/>
    <x v="0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  <x v="0"/>
    <x v="2"/>
    <x v="0"/>
  </r>
  <r>
    <n v="35"/>
    <x v="1"/>
    <s v="Travel_Frequently"/>
    <n v="146"/>
    <x v="1"/>
    <x v="2"/>
    <n v="4"/>
    <s v="Medical"/>
    <n v="1"/>
    <n v="1704"/>
    <n v="1"/>
    <s v="Male"/>
    <n v="79"/>
    <n v="2"/>
    <n v="1"/>
    <x v="1"/>
    <x v="0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  <x v="2"/>
    <x v="0"/>
    <x v="2"/>
  </r>
  <r>
    <n v="43"/>
    <x v="1"/>
    <s v="Travel_Rarely"/>
    <n v="1179"/>
    <x v="0"/>
    <x v="2"/>
    <n v="3"/>
    <s v="Medical"/>
    <n v="1"/>
    <n v="1706"/>
    <n v="4"/>
    <s v="Male"/>
    <n v="73"/>
    <n v="3"/>
    <n v="2"/>
    <x v="0"/>
    <x v="0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  <x v="0"/>
    <x v="2"/>
    <x v="0"/>
  </r>
  <r>
    <n v="24"/>
    <x v="1"/>
    <s v="Travel_Rarely"/>
    <n v="581"/>
    <x v="1"/>
    <x v="14"/>
    <n v="3"/>
    <s v="Medical"/>
    <n v="1"/>
    <n v="1707"/>
    <n v="3"/>
    <s v="Male"/>
    <n v="62"/>
    <n v="4"/>
    <n v="1"/>
    <x v="1"/>
    <x v="2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  <x v="3"/>
    <x v="0"/>
    <x v="2"/>
  </r>
  <r>
    <n v="41"/>
    <x v="1"/>
    <s v="Travel_Rarely"/>
    <n v="918"/>
    <x v="0"/>
    <x v="16"/>
    <n v="3"/>
    <s v="Marketing"/>
    <n v="1"/>
    <n v="1708"/>
    <n v="4"/>
    <s v="Male"/>
    <n v="35"/>
    <n v="3"/>
    <n v="3"/>
    <x v="0"/>
    <x v="2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  <x v="0"/>
    <x v="2"/>
    <x v="0"/>
  </r>
  <r>
    <n v="29"/>
    <x v="1"/>
    <s v="Travel_Rarely"/>
    <n v="1082"/>
    <x v="1"/>
    <x v="14"/>
    <n v="4"/>
    <s v="Medical"/>
    <n v="1"/>
    <n v="1709"/>
    <n v="4"/>
    <s v="Female"/>
    <n v="43"/>
    <n v="3"/>
    <n v="1"/>
    <x v="2"/>
    <x v="2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  <x v="2"/>
    <x v="1"/>
    <x v="2"/>
  </r>
  <r>
    <n v="36"/>
    <x v="1"/>
    <s v="Travel_Rarely"/>
    <n v="530"/>
    <x v="0"/>
    <x v="2"/>
    <n v="4"/>
    <s v="Life Sciences"/>
    <n v="1"/>
    <n v="1710"/>
    <n v="3"/>
    <s v="Female"/>
    <n v="51"/>
    <n v="3"/>
    <n v="2"/>
    <x v="6"/>
    <x v="0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  <x v="0"/>
    <x v="0"/>
    <x v="3"/>
  </r>
  <r>
    <n v="45"/>
    <x v="1"/>
    <s v="Non-Travel"/>
    <n v="1238"/>
    <x v="1"/>
    <x v="0"/>
    <n v="1"/>
    <s v="Life Sciences"/>
    <n v="1"/>
    <n v="1712"/>
    <n v="3"/>
    <s v="Male"/>
    <n v="74"/>
    <n v="2"/>
    <n v="3"/>
    <x v="4"/>
    <x v="2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  <x v="0"/>
    <x v="2"/>
    <x v="3"/>
  </r>
  <r>
    <n v="24"/>
    <x v="0"/>
    <s v="Travel_Rarely"/>
    <n v="240"/>
    <x v="2"/>
    <x v="23"/>
    <n v="1"/>
    <s v="Human Resources"/>
    <n v="1"/>
    <n v="1714"/>
    <n v="4"/>
    <s v="Male"/>
    <n v="58"/>
    <n v="1"/>
    <n v="1"/>
    <x v="8"/>
    <x v="2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  <x v="3"/>
    <x v="1"/>
    <x v="1"/>
  </r>
  <r>
    <n v="47"/>
    <x v="0"/>
    <s v="Travel_Frequently"/>
    <n v="1093"/>
    <x v="0"/>
    <x v="14"/>
    <n v="3"/>
    <s v="Life Sciences"/>
    <n v="1"/>
    <n v="1716"/>
    <n v="3"/>
    <s v="Male"/>
    <n v="82"/>
    <n v="1"/>
    <n v="4"/>
    <x v="0"/>
    <x v="2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  <x v="1"/>
    <x v="2"/>
    <x v="3"/>
  </r>
  <r>
    <n v="26"/>
    <x v="1"/>
    <s v="Travel_Rarely"/>
    <n v="390"/>
    <x v="1"/>
    <x v="27"/>
    <n v="4"/>
    <s v="Medical"/>
    <n v="1"/>
    <n v="1718"/>
    <n v="4"/>
    <s v="Male"/>
    <n v="62"/>
    <n v="1"/>
    <n v="1"/>
    <x v="2"/>
    <x v="2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  <x v="2"/>
    <x v="1"/>
    <x v="2"/>
  </r>
  <r>
    <n v="45"/>
    <x v="1"/>
    <s v="Travel_Rarely"/>
    <n v="1005"/>
    <x v="1"/>
    <x v="26"/>
    <n v="2"/>
    <s v="Technical Degree"/>
    <n v="1"/>
    <n v="1719"/>
    <n v="4"/>
    <s v="Female"/>
    <n v="48"/>
    <n v="2"/>
    <n v="4"/>
    <x v="7"/>
    <x v="1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  <x v="0"/>
    <x v="2"/>
    <x v="3"/>
  </r>
  <r>
    <n v="32"/>
    <x v="1"/>
    <s v="Travel_Frequently"/>
    <n v="585"/>
    <x v="1"/>
    <x v="17"/>
    <n v="3"/>
    <s v="Life Sciences"/>
    <n v="1"/>
    <n v="1720"/>
    <n v="1"/>
    <s v="Male"/>
    <n v="56"/>
    <n v="3"/>
    <n v="1"/>
    <x v="1"/>
    <x v="2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  <x v="2"/>
    <x v="0"/>
    <x v="2"/>
  </r>
  <r>
    <n v="31"/>
    <x v="1"/>
    <s v="Travel_Rarely"/>
    <n v="741"/>
    <x v="1"/>
    <x v="2"/>
    <n v="4"/>
    <s v="Life Sciences"/>
    <n v="1"/>
    <n v="1721"/>
    <n v="2"/>
    <s v="Male"/>
    <n v="69"/>
    <n v="3"/>
    <n v="1"/>
    <x v="2"/>
    <x v="2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  <x v="2"/>
    <x v="0"/>
    <x v="2"/>
  </r>
  <r>
    <n v="41"/>
    <x v="1"/>
    <s v="Non-Travel"/>
    <n v="552"/>
    <x v="2"/>
    <x v="18"/>
    <n v="3"/>
    <s v="Human Resources"/>
    <n v="1"/>
    <n v="1722"/>
    <n v="3"/>
    <s v="Male"/>
    <n v="60"/>
    <n v="1"/>
    <n v="2"/>
    <x v="8"/>
    <x v="1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  <x v="0"/>
    <x v="0"/>
    <x v="2"/>
  </r>
  <r>
    <n v="40"/>
    <x v="1"/>
    <s v="Travel_Rarely"/>
    <n v="369"/>
    <x v="1"/>
    <x v="1"/>
    <n v="2"/>
    <s v="Life Sciences"/>
    <n v="1"/>
    <n v="1724"/>
    <n v="2"/>
    <s v="Female"/>
    <n v="92"/>
    <n v="3"/>
    <n v="2"/>
    <x v="3"/>
    <x v="3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  <x v="0"/>
    <x v="0"/>
    <x v="1"/>
  </r>
  <r>
    <n v="24"/>
    <x v="1"/>
    <s v="Travel_Rarely"/>
    <n v="506"/>
    <x v="1"/>
    <x v="22"/>
    <n v="1"/>
    <s v="Medical"/>
    <n v="1"/>
    <n v="1725"/>
    <n v="2"/>
    <s v="Male"/>
    <n v="91"/>
    <n v="3"/>
    <n v="1"/>
    <x v="2"/>
    <x v="3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  <x v="3"/>
    <x v="0"/>
    <x v="0"/>
  </r>
  <r>
    <n v="46"/>
    <x v="1"/>
    <s v="Travel_Rarely"/>
    <n v="717"/>
    <x v="1"/>
    <x v="28"/>
    <n v="4"/>
    <s v="Life Sciences"/>
    <n v="1"/>
    <n v="1727"/>
    <n v="3"/>
    <s v="Male"/>
    <n v="34"/>
    <n v="3"/>
    <n v="2"/>
    <x v="4"/>
    <x v="1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  <x v="1"/>
    <x v="0"/>
    <x v="0"/>
  </r>
  <r>
    <n v="35"/>
    <x v="1"/>
    <s v="Travel_Rarely"/>
    <n v="1370"/>
    <x v="1"/>
    <x v="6"/>
    <n v="4"/>
    <s v="Life Sciences"/>
    <n v="1"/>
    <n v="1728"/>
    <n v="4"/>
    <s v="Male"/>
    <n v="49"/>
    <n v="3"/>
    <n v="2"/>
    <x v="3"/>
    <x v="2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  <x v="2"/>
    <x v="0"/>
    <x v="0"/>
  </r>
  <r>
    <n v="30"/>
    <x v="1"/>
    <s v="Travel_Rarely"/>
    <n v="793"/>
    <x v="1"/>
    <x v="7"/>
    <n v="1"/>
    <s v="Life Sciences"/>
    <n v="1"/>
    <n v="1729"/>
    <n v="2"/>
    <s v="Male"/>
    <n v="33"/>
    <n v="3"/>
    <n v="1"/>
    <x v="1"/>
    <x v="0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  <x v="2"/>
    <x v="1"/>
    <x v="0"/>
  </r>
  <r>
    <n v="47"/>
    <x v="1"/>
    <s v="Non-Travel"/>
    <n v="543"/>
    <x v="0"/>
    <x v="2"/>
    <n v="4"/>
    <s v="Marketing"/>
    <n v="1"/>
    <n v="1731"/>
    <n v="3"/>
    <s v="Male"/>
    <n v="87"/>
    <n v="3"/>
    <n v="2"/>
    <x v="0"/>
    <x v="1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  <x v="1"/>
    <x v="0"/>
    <x v="1"/>
  </r>
  <r>
    <n v="46"/>
    <x v="1"/>
    <s v="Travel_Rarely"/>
    <n v="1277"/>
    <x v="0"/>
    <x v="2"/>
    <n v="3"/>
    <s v="Life Sciences"/>
    <n v="1"/>
    <n v="1732"/>
    <n v="3"/>
    <s v="Male"/>
    <n v="74"/>
    <n v="3"/>
    <n v="3"/>
    <x v="0"/>
    <x v="0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  <x v="1"/>
    <x v="2"/>
    <x v="0"/>
  </r>
  <r>
    <n v="36"/>
    <x v="0"/>
    <s v="Travel_Rarely"/>
    <n v="1456"/>
    <x v="0"/>
    <x v="28"/>
    <n v="5"/>
    <s v="Marketing"/>
    <n v="1"/>
    <n v="1733"/>
    <n v="2"/>
    <s v="Male"/>
    <n v="96"/>
    <n v="2"/>
    <n v="2"/>
    <x v="0"/>
    <x v="3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  <x v="0"/>
    <x v="0"/>
    <x v="1"/>
  </r>
  <r>
    <n v="32"/>
    <x v="0"/>
    <s v="Travel_Rarely"/>
    <n v="964"/>
    <x v="0"/>
    <x v="0"/>
    <n v="2"/>
    <s v="Life Sciences"/>
    <n v="1"/>
    <n v="1734"/>
    <n v="1"/>
    <s v="Male"/>
    <n v="34"/>
    <n v="1"/>
    <n v="2"/>
    <x v="0"/>
    <x v="1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  <x v="2"/>
    <x v="0"/>
    <x v="1"/>
  </r>
  <r>
    <n v="23"/>
    <x v="1"/>
    <s v="Travel_Rarely"/>
    <n v="160"/>
    <x v="1"/>
    <x v="18"/>
    <n v="1"/>
    <s v="Medical"/>
    <n v="1"/>
    <n v="1735"/>
    <n v="3"/>
    <s v="Female"/>
    <n v="51"/>
    <n v="3"/>
    <n v="1"/>
    <x v="2"/>
    <x v="1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  <x v="3"/>
    <x v="0"/>
    <x v="2"/>
  </r>
  <r>
    <n v="31"/>
    <x v="1"/>
    <s v="Travel_Frequently"/>
    <n v="163"/>
    <x v="1"/>
    <x v="4"/>
    <n v="1"/>
    <s v="Technical Degree"/>
    <n v="1"/>
    <n v="1736"/>
    <n v="4"/>
    <s v="Female"/>
    <n v="30"/>
    <n v="3"/>
    <n v="2"/>
    <x v="3"/>
    <x v="0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  <x v="2"/>
    <x v="0"/>
    <x v="2"/>
  </r>
  <r>
    <n v="39"/>
    <x v="1"/>
    <s v="Non-Travel"/>
    <n v="792"/>
    <x v="1"/>
    <x v="0"/>
    <n v="3"/>
    <s v="Life Sciences"/>
    <n v="1"/>
    <n v="1737"/>
    <n v="4"/>
    <s v="Male"/>
    <n v="77"/>
    <n v="3"/>
    <n v="2"/>
    <x v="2"/>
    <x v="0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  <x v="0"/>
    <x v="0"/>
    <x v="0"/>
  </r>
  <r>
    <n v="32"/>
    <x v="1"/>
    <s v="Travel_Rarely"/>
    <n v="371"/>
    <x v="0"/>
    <x v="10"/>
    <n v="3"/>
    <s v="Life Sciences"/>
    <n v="1"/>
    <n v="1739"/>
    <n v="4"/>
    <s v="Male"/>
    <n v="80"/>
    <n v="1"/>
    <n v="3"/>
    <x v="0"/>
    <x v="2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  <x v="2"/>
    <x v="2"/>
    <x v="2"/>
  </r>
  <r>
    <n v="40"/>
    <x v="1"/>
    <s v="Travel_Rarely"/>
    <n v="611"/>
    <x v="0"/>
    <x v="15"/>
    <n v="4"/>
    <s v="Medical"/>
    <n v="1"/>
    <n v="1740"/>
    <n v="2"/>
    <s v="Male"/>
    <n v="88"/>
    <n v="3"/>
    <n v="5"/>
    <x v="5"/>
    <x v="1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  <x v="0"/>
    <x v="2"/>
    <x v="3"/>
  </r>
  <r>
    <n v="45"/>
    <x v="1"/>
    <s v="Travel_Rarely"/>
    <n v="176"/>
    <x v="2"/>
    <x v="18"/>
    <n v="3"/>
    <s v="Life Sciences"/>
    <n v="1"/>
    <n v="1744"/>
    <n v="3"/>
    <s v="Female"/>
    <n v="56"/>
    <n v="1"/>
    <n v="3"/>
    <x v="8"/>
    <x v="2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  <x v="0"/>
    <x v="2"/>
    <x v="2"/>
  </r>
  <r>
    <n v="30"/>
    <x v="1"/>
    <s v="Travel_Frequently"/>
    <n v="1312"/>
    <x v="1"/>
    <x v="2"/>
    <n v="4"/>
    <s v="Technical Degree"/>
    <n v="1"/>
    <n v="1745"/>
    <n v="4"/>
    <s v="Female"/>
    <n v="78"/>
    <n v="2"/>
    <n v="1"/>
    <x v="1"/>
    <x v="3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  <x v="2"/>
    <x v="0"/>
    <x v="0"/>
  </r>
  <r>
    <n v="24"/>
    <x v="1"/>
    <s v="Travel_Frequently"/>
    <n v="897"/>
    <x v="2"/>
    <x v="17"/>
    <n v="3"/>
    <s v="Medical"/>
    <n v="1"/>
    <n v="1746"/>
    <n v="1"/>
    <s v="Male"/>
    <n v="59"/>
    <n v="3"/>
    <n v="1"/>
    <x v="8"/>
    <x v="0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  <x v="3"/>
    <x v="1"/>
    <x v="1"/>
  </r>
  <r>
    <n v="30"/>
    <x v="0"/>
    <s v="Travel_Frequently"/>
    <n v="600"/>
    <x v="2"/>
    <x v="1"/>
    <n v="3"/>
    <s v="Human Resources"/>
    <n v="1"/>
    <n v="1747"/>
    <n v="3"/>
    <s v="Female"/>
    <n v="66"/>
    <n v="2"/>
    <n v="1"/>
    <x v="8"/>
    <x v="0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  <x v="2"/>
    <x v="1"/>
    <x v="2"/>
  </r>
  <r>
    <n v="31"/>
    <x v="1"/>
    <s v="Travel_Rarely"/>
    <n v="1003"/>
    <x v="0"/>
    <x v="12"/>
    <n v="3"/>
    <s v="Technical Degree"/>
    <n v="1"/>
    <n v="1749"/>
    <n v="1"/>
    <s v="Male"/>
    <n v="51"/>
    <n v="3"/>
    <n v="2"/>
    <x v="0"/>
    <x v="2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  <x v="2"/>
    <x v="2"/>
    <x v="2"/>
  </r>
  <r>
    <n v="27"/>
    <x v="1"/>
    <s v="Travel_Rarely"/>
    <n v="1054"/>
    <x v="1"/>
    <x v="1"/>
    <n v="3"/>
    <s v="Medical"/>
    <n v="1"/>
    <n v="1751"/>
    <n v="3"/>
    <s v="Female"/>
    <n v="67"/>
    <n v="3"/>
    <n v="1"/>
    <x v="1"/>
    <x v="0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  <x v="2"/>
    <x v="0"/>
    <x v="0"/>
  </r>
  <r>
    <n v="29"/>
    <x v="0"/>
    <s v="Travel_Rarely"/>
    <n v="428"/>
    <x v="0"/>
    <x v="14"/>
    <n v="3"/>
    <s v="Marketing"/>
    <n v="1"/>
    <n v="1752"/>
    <n v="2"/>
    <s v="Female"/>
    <n v="52"/>
    <n v="1"/>
    <n v="1"/>
    <x v="6"/>
    <x v="1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  <x v="2"/>
    <x v="1"/>
    <x v="1"/>
  </r>
  <r>
    <n v="29"/>
    <x v="1"/>
    <s v="Travel_Frequently"/>
    <n v="461"/>
    <x v="1"/>
    <x v="0"/>
    <n v="3"/>
    <s v="Life Sciences"/>
    <n v="1"/>
    <n v="1753"/>
    <n v="4"/>
    <s v="Male"/>
    <n v="70"/>
    <n v="4"/>
    <n v="2"/>
    <x v="4"/>
    <x v="2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  <x v="2"/>
    <x v="0"/>
    <x v="2"/>
  </r>
  <r>
    <n v="30"/>
    <x v="1"/>
    <s v="Travel_Rarely"/>
    <n v="979"/>
    <x v="0"/>
    <x v="8"/>
    <n v="2"/>
    <s v="Marketing"/>
    <n v="1"/>
    <n v="1754"/>
    <n v="3"/>
    <s v="Male"/>
    <n v="94"/>
    <n v="2"/>
    <n v="3"/>
    <x v="0"/>
    <x v="3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  <x v="2"/>
    <x v="2"/>
    <x v="0"/>
  </r>
  <r>
    <n v="34"/>
    <x v="1"/>
    <s v="Travel_Rarely"/>
    <n v="181"/>
    <x v="1"/>
    <x v="2"/>
    <n v="4"/>
    <s v="Medical"/>
    <n v="1"/>
    <n v="1755"/>
    <n v="4"/>
    <s v="Male"/>
    <n v="97"/>
    <n v="4"/>
    <n v="1"/>
    <x v="1"/>
    <x v="0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  <x v="2"/>
    <x v="1"/>
    <x v="2"/>
  </r>
  <r>
    <n v="33"/>
    <x v="1"/>
    <s v="Non-Travel"/>
    <n v="1283"/>
    <x v="0"/>
    <x v="2"/>
    <n v="3"/>
    <s v="Marketing"/>
    <n v="1"/>
    <n v="1756"/>
    <n v="4"/>
    <s v="Female"/>
    <n v="62"/>
    <n v="3"/>
    <n v="2"/>
    <x v="0"/>
    <x v="1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  <x v="2"/>
    <x v="0"/>
    <x v="3"/>
  </r>
  <r>
    <n v="49"/>
    <x v="1"/>
    <s v="Travel_Rarely"/>
    <n v="1313"/>
    <x v="0"/>
    <x v="13"/>
    <n v="4"/>
    <s v="Marketing"/>
    <n v="1"/>
    <n v="1757"/>
    <n v="4"/>
    <s v="Female"/>
    <n v="80"/>
    <n v="3"/>
    <n v="2"/>
    <x v="0"/>
    <x v="0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  <x v="1"/>
    <x v="0"/>
    <x v="2"/>
  </r>
  <r>
    <n v="33"/>
    <x v="0"/>
    <s v="Travel_Rarely"/>
    <n v="211"/>
    <x v="0"/>
    <x v="7"/>
    <n v="3"/>
    <s v="Life Sciences"/>
    <n v="1"/>
    <n v="1758"/>
    <n v="1"/>
    <s v="Female"/>
    <n v="74"/>
    <n v="3"/>
    <n v="3"/>
    <x v="0"/>
    <x v="3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  <x v="2"/>
    <x v="2"/>
    <x v="1"/>
  </r>
  <r>
    <n v="38"/>
    <x v="1"/>
    <s v="Travel_Frequently"/>
    <n v="594"/>
    <x v="1"/>
    <x v="2"/>
    <n v="2"/>
    <s v="Medical"/>
    <n v="1"/>
    <n v="1760"/>
    <n v="3"/>
    <s v="Female"/>
    <n v="75"/>
    <n v="2"/>
    <n v="1"/>
    <x v="2"/>
    <x v="1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  <x v="0"/>
    <x v="1"/>
    <x v="0"/>
  </r>
  <r>
    <n v="31"/>
    <x v="0"/>
    <s v="Travel_Rarely"/>
    <n v="1079"/>
    <x v="0"/>
    <x v="7"/>
    <n v="4"/>
    <s v="Marketing"/>
    <n v="1"/>
    <n v="1761"/>
    <n v="1"/>
    <s v="Male"/>
    <n v="70"/>
    <n v="3"/>
    <n v="3"/>
    <x v="0"/>
    <x v="2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  <x v="2"/>
    <x v="2"/>
    <x v="1"/>
  </r>
  <r>
    <n v="29"/>
    <x v="1"/>
    <s v="Travel_Rarely"/>
    <n v="590"/>
    <x v="1"/>
    <x v="18"/>
    <n v="3"/>
    <s v="Technical Degree"/>
    <n v="1"/>
    <n v="1762"/>
    <n v="4"/>
    <s v="Female"/>
    <n v="91"/>
    <n v="2"/>
    <n v="1"/>
    <x v="1"/>
    <x v="3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  <x v="2"/>
    <x v="1"/>
    <x v="1"/>
  </r>
  <r>
    <n v="30"/>
    <x v="1"/>
    <s v="Travel_Rarely"/>
    <n v="305"/>
    <x v="1"/>
    <x v="7"/>
    <n v="3"/>
    <s v="Life Sciences"/>
    <n v="1"/>
    <n v="1763"/>
    <n v="3"/>
    <s v="Male"/>
    <n v="58"/>
    <n v="4"/>
    <n v="2"/>
    <x v="4"/>
    <x v="2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  <x v="2"/>
    <x v="0"/>
    <x v="0"/>
  </r>
  <r>
    <n v="32"/>
    <x v="1"/>
    <s v="Non-Travel"/>
    <n v="953"/>
    <x v="1"/>
    <x v="12"/>
    <n v="4"/>
    <s v="Technical Degree"/>
    <n v="1"/>
    <n v="1764"/>
    <n v="2"/>
    <s v="Male"/>
    <n v="65"/>
    <n v="3"/>
    <n v="1"/>
    <x v="1"/>
    <x v="1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  <x v="2"/>
    <x v="1"/>
    <x v="0"/>
  </r>
  <r>
    <n v="38"/>
    <x v="1"/>
    <s v="Travel_Rarely"/>
    <n v="833"/>
    <x v="1"/>
    <x v="21"/>
    <n v="3"/>
    <s v="Medical"/>
    <n v="1"/>
    <n v="1766"/>
    <n v="2"/>
    <s v="Male"/>
    <n v="60"/>
    <n v="1"/>
    <n v="2"/>
    <x v="4"/>
    <x v="0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  <x v="0"/>
    <x v="0"/>
    <x v="1"/>
  </r>
  <r>
    <n v="43"/>
    <x v="0"/>
    <s v="Travel_Frequently"/>
    <n v="807"/>
    <x v="1"/>
    <x v="27"/>
    <n v="3"/>
    <s v="Technical Degree"/>
    <n v="1"/>
    <n v="1767"/>
    <n v="3"/>
    <s v="Male"/>
    <n v="38"/>
    <n v="2"/>
    <n v="1"/>
    <x v="1"/>
    <x v="2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  <x v="0"/>
    <x v="1"/>
    <x v="1"/>
  </r>
  <r>
    <n v="42"/>
    <x v="1"/>
    <s v="Travel_Rarely"/>
    <n v="855"/>
    <x v="1"/>
    <x v="20"/>
    <n v="3"/>
    <s v="Medical"/>
    <n v="1"/>
    <n v="1768"/>
    <n v="2"/>
    <s v="Male"/>
    <n v="57"/>
    <n v="3"/>
    <n v="1"/>
    <x v="2"/>
    <x v="1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  <x v="0"/>
    <x v="1"/>
    <x v="2"/>
  </r>
  <r>
    <n v="55"/>
    <x v="1"/>
    <s v="Travel_Rarely"/>
    <n v="478"/>
    <x v="1"/>
    <x v="2"/>
    <n v="3"/>
    <s v="Medical"/>
    <n v="1"/>
    <n v="1770"/>
    <n v="3"/>
    <s v="Male"/>
    <n v="60"/>
    <n v="2"/>
    <n v="5"/>
    <x v="7"/>
    <x v="3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  <x v="1"/>
    <x v="2"/>
    <x v="1"/>
  </r>
  <r>
    <n v="33"/>
    <x v="1"/>
    <s v="Non-Travel"/>
    <n v="775"/>
    <x v="1"/>
    <x v="18"/>
    <n v="3"/>
    <s v="Technical Degree"/>
    <n v="1"/>
    <n v="1771"/>
    <n v="4"/>
    <s v="Male"/>
    <n v="90"/>
    <n v="3"/>
    <n v="2"/>
    <x v="1"/>
    <x v="1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  <x v="2"/>
    <x v="0"/>
    <x v="0"/>
  </r>
  <r>
    <n v="41"/>
    <x v="1"/>
    <s v="Travel_Rarely"/>
    <n v="548"/>
    <x v="1"/>
    <x v="14"/>
    <n v="4"/>
    <s v="Life Sciences"/>
    <n v="1"/>
    <n v="1772"/>
    <n v="3"/>
    <s v="Male"/>
    <n v="94"/>
    <n v="3"/>
    <n v="1"/>
    <x v="2"/>
    <x v="3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  <x v="0"/>
    <x v="1"/>
    <x v="2"/>
  </r>
  <r>
    <n v="34"/>
    <x v="1"/>
    <s v="Non-Travel"/>
    <n v="1375"/>
    <x v="0"/>
    <x v="17"/>
    <n v="3"/>
    <s v="Life Sciences"/>
    <n v="1"/>
    <n v="1774"/>
    <n v="4"/>
    <s v="Male"/>
    <n v="87"/>
    <n v="3"/>
    <n v="2"/>
    <x v="0"/>
    <x v="2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  <x v="2"/>
    <x v="0"/>
    <x v="3"/>
  </r>
  <r>
    <n v="53"/>
    <x v="1"/>
    <s v="Non-Travel"/>
    <n v="661"/>
    <x v="1"/>
    <x v="0"/>
    <n v="4"/>
    <s v="Medical"/>
    <n v="1"/>
    <n v="1775"/>
    <n v="1"/>
    <s v="Female"/>
    <n v="60"/>
    <n v="2"/>
    <n v="4"/>
    <x v="3"/>
    <x v="2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  <x v="1"/>
    <x v="2"/>
    <x v="2"/>
  </r>
  <r>
    <n v="43"/>
    <x v="1"/>
    <s v="Travel_Rarely"/>
    <n v="244"/>
    <x v="2"/>
    <x v="2"/>
    <n v="3"/>
    <s v="Life Sciences"/>
    <n v="1"/>
    <n v="1778"/>
    <n v="2"/>
    <s v="Male"/>
    <n v="97"/>
    <n v="3"/>
    <n v="1"/>
    <x v="8"/>
    <x v="0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  <x v="0"/>
    <x v="0"/>
    <x v="0"/>
  </r>
  <r>
    <n v="34"/>
    <x v="1"/>
    <s v="Travel_Rarely"/>
    <n v="511"/>
    <x v="0"/>
    <x v="3"/>
    <n v="2"/>
    <s v="Life Sciences"/>
    <n v="1"/>
    <n v="1779"/>
    <n v="4"/>
    <s v="Female"/>
    <n v="32"/>
    <n v="1"/>
    <n v="2"/>
    <x v="0"/>
    <x v="0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  <x v="2"/>
    <x v="0"/>
    <x v="1"/>
  </r>
  <r>
    <n v="21"/>
    <x v="0"/>
    <s v="Travel_Rarely"/>
    <n v="337"/>
    <x v="0"/>
    <x v="15"/>
    <n v="1"/>
    <s v="Marketing"/>
    <n v="1"/>
    <n v="1780"/>
    <n v="2"/>
    <s v="Male"/>
    <n v="31"/>
    <n v="3"/>
    <n v="1"/>
    <x v="6"/>
    <x v="1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  <x v="3"/>
    <x v="1"/>
    <x v="1"/>
  </r>
  <r>
    <n v="38"/>
    <x v="1"/>
    <s v="Travel_Rarely"/>
    <n v="1153"/>
    <x v="1"/>
    <x v="16"/>
    <n v="2"/>
    <s v="Other"/>
    <n v="1"/>
    <n v="1782"/>
    <n v="4"/>
    <s v="Female"/>
    <n v="40"/>
    <n v="2"/>
    <n v="1"/>
    <x v="2"/>
    <x v="2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  <x v="0"/>
    <x v="0"/>
    <x v="2"/>
  </r>
  <r>
    <n v="22"/>
    <x v="0"/>
    <s v="Travel_Rarely"/>
    <n v="1294"/>
    <x v="1"/>
    <x v="1"/>
    <n v="1"/>
    <s v="Medical"/>
    <n v="1"/>
    <n v="1783"/>
    <n v="3"/>
    <s v="Female"/>
    <n v="79"/>
    <n v="3"/>
    <n v="1"/>
    <x v="2"/>
    <x v="3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  <x v="3"/>
    <x v="1"/>
    <x v="1"/>
  </r>
  <r>
    <n v="31"/>
    <x v="1"/>
    <s v="Travel_Rarely"/>
    <n v="196"/>
    <x v="0"/>
    <x v="22"/>
    <n v="4"/>
    <s v="Marketing"/>
    <n v="1"/>
    <n v="1784"/>
    <n v="1"/>
    <s v="Female"/>
    <n v="91"/>
    <n v="2"/>
    <n v="2"/>
    <x v="0"/>
    <x v="0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  <x v="2"/>
    <x v="0"/>
    <x v="3"/>
  </r>
  <r>
    <n v="51"/>
    <x v="1"/>
    <s v="Travel_Rarely"/>
    <n v="942"/>
    <x v="1"/>
    <x v="3"/>
    <n v="3"/>
    <s v="Technical Degree"/>
    <n v="1"/>
    <n v="1786"/>
    <n v="1"/>
    <s v="Female"/>
    <n v="53"/>
    <n v="3"/>
    <n v="3"/>
    <x v="5"/>
    <x v="2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  <x v="1"/>
    <x v="2"/>
    <x v="1"/>
  </r>
  <r>
    <n v="37"/>
    <x v="1"/>
    <s v="Travel_Rarely"/>
    <n v="589"/>
    <x v="0"/>
    <x v="14"/>
    <n v="2"/>
    <s v="Marketing"/>
    <n v="1"/>
    <n v="1787"/>
    <n v="2"/>
    <s v="Male"/>
    <n v="46"/>
    <n v="2"/>
    <n v="2"/>
    <x v="0"/>
    <x v="1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  <x v="0"/>
    <x v="0"/>
    <x v="2"/>
  </r>
  <r>
    <n v="46"/>
    <x v="1"/>
    <s v="Travel_Rarely"/>
    <n v="734"/>
    <x v="1"/>
    <x v="2"/>
    <n v="4"/>
    <s v="Medical"/>
    <n v="1"/>
    <n v="1789"/>
    <n v="3"/>
    <s v="Male"/>
    <n v="46"/>
    <n v="3"/>
    <n v="5"/>
    <x v="7"/>
    <x v="0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  <x v="1"/>
    <x v="2"/>
    <x v="1"/>
  </r>
  <r>
    <n v="36"/>
    <x v="1"/>
    <s v="Travel_Rarely"/>
    <n v="1383"/>
    <x v="1"/>
    <x v="17"/>
    <n v="3"/>
    <s v="Life Sciences"/>
    <n v="1"/>
    <n v="1790"/>
    <n v="4"/>
    <s v="Male"/>
    <n v="90"/>
    <n v="3"/>
    <n v="3"/>
    <x v="4"/>
    <x v="3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  <x v="0"/>
    <x v="2"/>
    <x v="3"/>
  </r>
  <r>
    <n v="44"/>
    <x v="0"/>
    <s v="Travel_Frequently"/>
    <n v="429"/>
    <x v="1"/>
    <x v="0"/>
    <n v="2"/>
    <s v="Medical"/>
    <n v="1"/>
    <n v="1792"/>
    <n v="3"/>
    <s v="Male"/>
    <n v="99"/>
    <n v="3"/>
    <n v="1"/>
    <x v="1"/>
    <x v="1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  <x v="0"/>
    <x v="1"/>
    <x v="2"/>
  </r>
  <r>
    <n v="37"/>
    <x v="1"/>
    <s v="Travel_Rarely"/>
    <n v="1239"/>
    <x v="2"/>
    <x v="1"/>
    <n v="2"/>
    <s v="Other"/>
    <n v="1"/>
    <n v="1794"/>
    <n v="3"/>
    <s v="Male"/>
    <n v="89"/>
    <n v="3"/>
    <n v="2"/>
    <x v="8"/>
    <x v="1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  <x v="0"/>
    <x v="0"/>
    <x v="0"/>
  </r>
  <r>
    <n v="35"/>
    <x v="0"/>
    <s v="Travel_Rarely"/>
    <n v="303"/>
    <x v="0"/>
    <x v="6"/>
    <n v="3"/>
    <s v="Life Sciences"/>
    <n v="1"/>
    <n v="1797"/>
    <n v="3"/>
    <s v="Male"/>
    <n v="84"/>
    <n v="3"/>
    <n v="2"/>
    <x v="0"/>
    <x v="0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  <x v="2"/>
    <x v="0"/>
    <x v="0"/>
  </r>
  <r>
    <n v="33"/>
    <x v="1"/>
    <s v="Travel_Rarely"/>
    <n v="867"/>
    <x v="1"/>
    <x v="1"/>
    <n v="4"/>
    <s v="Life Sciences"/>
    <n v="1"/>
    <n v="1798"/>
    <n v="4"/>
    <s v="Male"/>
    <n v="90"/>
    <n v="4"/>
    <n v="1"/>
    <x v="1"/>
    <x v="3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  <x v="2"/>
    <x v="0"/>
    <x v="0"/>
  </r>
  <r>
    <n v="28"/>
    <x v="1"/>
    <s v="Travel_Rarely"/>
    <n v="1181"/>
    <x v="1"/>
    <x v="0"/>
    <n v="3"/>
    <s v="Life Sciences"/>
    <n v="1"/>
    <n v="1799"/>
    <n v="3"/>
    <s v="Male"/>
    <n v="82"/>
    <n v="3"/>
    <n v="1"/>
    <x v="1"/>
    <x v="0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  <x v="2"/>
    <x v="1"/>
    <x v="2"/>
  </r>
  <r>
    <n v="39"/>
    <x v="1"/>
    <s v="Travel_Rarely"/>
    <n v="1253"/>
    <x v="1"/>
    <x v="17"/>
    <n v="1"/>
    <s v="Medical"/>
    <n v="1"/>
    <n v="1800"/>
    <n v="3"/>
    <s v="Male"/>
    <n v="65"/>
    <n v="3"/>
    <n v="3"/>
    <x v="7"/>
    <x v="2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  <x v="0"/>
    <x v="2"/>
    <x v="2"/>
  </r>
  <r>
    <n v="46"/>
    <x v="1"/>
    <s v="Non-Travel"/>
    <n v="849"/>
    <x v="0"/>
    <x v="9"/>
    <n v="2"/>
    <s v="Life Sciences"/>
    <n v="1"/>
    <n v="1801"/>
    <n v="2"/>
    <s v="Male"/>
    <n v="98"/>
    <n v="2"/>
    <n v="2"/>
    <x v="0"/>
    <x v="1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  <x v="1"/>
    <x v="2"/>
    <x v="1"/>
  </r>
  <r>
    <n v="40"/>
    <x v="1"/>
    <s v="Travel_Rarely"/>
    <n v="616"/>
    <x v="1"/>
    <x v="2"/>
    <n v="2"/>
    <s v="Life Sciences"/>
    <n v="1"/>
    <n v="1802"/>
    <n v="3"/>
    <s v="Female"/>
    <n v="99"/>
    <n v="3"/>
    <n v="1"/>
    <x v="2"/>
    <x v="3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  <x v="0"/>
    <x v="0"/>
    <x v="2"/>
  </r>
  <r>
    <n v="42"/>
    <x v="1"/>
    <s v="Travel_Rarely"/>
    <n v="1128"/>
    <x v="1"/>
    <x v="28"/>
    <n v="3"/>
    <s v="Medical"/>
    <n v="1"/>
    <n v="1803"/>
    <n v="2"/>
    <s v="Male"/>
    <n v="95"/>
    <n v="4"/>
    <n v="2"/>
    <x v="4"/>
    <x v="3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  <x v="0"/>
    <x v="0"/>
    <x v="1"/>
  </r>
  <r>
    <n v="35"/>
    <x v="1"/>
    <s v="Non-Travel"/>
    <n v="1180"/>
    <x v="1"/>
    <x v="2"/>
    <n v="2"/>
    <s v="Medical"/>
    <n v="1"/>
    <n v="1804"/>
    <n v="2"/>
    <s v="Male"/>
    <n v="90"/>
    <n v="3"/>
    <n v="2"/>
    <x v="3"/>
    <x v="0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  <x v="2"/>
    <x v="0"/>
    <x v="0"/>
  </r>
  <r>
    <n v="38"/>
    <x v="1"/>
    <s v="Non-Travel"/>
    <n v="1336"/>
    <x v="2"/>
    <x v="2"/>
    <n v="3"/>
    <s v="Human Resources"/>
    <n v="1"/>
    <n v="1805"/>
    <n v="1"/>
    <s v="Male"/>
    <n v="100"/>
    <n v="3"/>
    <n v="1"/>
    <x v="8"/>
    <x v="1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  <x v="0"/>
    <x v="1"/>
    <x v="3"/>
  </r>
  <r>
    <n v="34"/>
    <x v="0"/>
    <s v="Travel_Frequently"/>
    <n v="234"/>
    <x v="1"/>
    <x v="14"/>
    <n v="4"/>
    <s v="Life Sciences"/>
    <n v="1"/>
    <n v="1807"/>
    <n v="4"/>
    <s v="Male"/>
    <n v="93"/>
    <n v="3"/>
    <n v="2"/>
    <x v="2"/>
    <x v="3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  <x v="2"/>
    <x v="0"/>
    <x v="0"/>
  </r>
  <r>
    <n v="37"/>
    <x v="0"/>
    <s v="Travel_Rarely"/>
    <n v="370"/>
    <x v="1"/>
    <x v="17"/>
    <n v="4"/>
    <s v="Medical"/>
    <n v="1"/>
    <n v="1809"/>
    <n v="4"/>
    <s v="Male"/>
    <n v="58"/>
    <n v="3"/>
    <n v="2"/>
    <x v="3"/>
    <x v="3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  <x v="0"/>
    <x v="0"/>
    <x v="0"/>
  </r>
  <r>
    <n v="39"/>
    <x v="1"/>
    <s v="Travel_Frequently"/>
    <n v="766"/>
    <x v="0"/>
    <x v="25"/>
    <n v="3"/>
    <s v="Life Sciences"/>
    <n v="1"/>
    <n v="1812"/>
    <n v="3"/>
    <s v="Male"/>
    <n v="83"/>
    <n v="3"/>
    <n v="2"/>
    <x v="0"/>
    <x v="0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  <x v="0"/>
    <x v="0"/>
    <x v="1"/>
  </r>
  <r>
    <n v="43"/>
    <x v="1"/>
    <s v="Non-Travel"/>
    <n v="343"/>
    <x v="1"/>
    <x v="14"/>
    <n v="3"/>
    <s v="Life Sciences"/>
    <n v="1"/>
    <n v="1813"/>
    <n v="1"/>
    <s v="Male"/>
    <n v="52"/>
    <n v="3"/>
    <n v="1"/>
    <x v="1"/>
    <x v="2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  <x v="0"/>
    <x v="1"/>
    <x v="2"/>
  </r>
  <r>
    <n v="41"/>
    <x v="1"/>
    <s v="Travel_Rarely"/>
    <n v="447"/>
    <x v="1"/>
    <x v="12"/>
    <n v="3"/>
    <s v="Life Sciences"/>
    <n v="1"/>
    <n v="1814"/>
    <n v="2"/>
    <s v="Male"/>
    <n v="85"/>
    <n v="4"/>
    <n v="2"/>
    <x v="4"/>
    <x v="1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  <x v="0"/>
    <x v="0"/>
    <x v="2"/>
  </r>
  <r>
    <n v="41"/>
    <x v="1"/>
    <s v="Travel_Rarely"/>
    <n v="796"/>
    <x v="0"/>
    <x v="18"/>
    <n v="1"/>
    <s v="Marketing"/>
    <n v="1"/>
    <n v="1815"/>
    <n v="3"/>
    <s v="Female"/>
    <n v="81"/>
    <n v="3"/>
    <n v="3"/>
    <x v="0"/>
    <x v="2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  <x v="0"/>
    <x v="2"/>
    <x v="3"/>
  </r>
  <r>
    <n v="30"/>
    <x v="1"/>
    <s v="Travel_Rarely"/>
    <n v="1092"/>
    <x v="1"/>
    <x v="17"/>
    <n v="3"/>
    <s v="Medical"/>
    <n v="1"/>
    <n v="1816"/>
    <n v="1"/>
    <s v="Female"/>
    <n v="64"/>
    <n v="3"/>
    <n v="3"/>
    <x v="3"/>
    <x v="2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  <x v="2"/>
    <x v="2"/>
    <x v="0"/>
  </r>
  <r>
    <n v="26"/>
    <x v="0"/>
    <s v="Travel_Rarely"/>
    <n v="920"/>
    <x v="2"/>
    <x v="25"/>
    <n v="2"/>
    <s v="Medical"/>
    <n v="1"/>
    <n v="1818"/>
    <n v="4"/>
    <s v="Female"/>
    <n v="69"/>
    <n v="3"/>
    <n v="1"/>
    <x v="8"/>
    <x v="1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  <x v="2"/>
    <x v="1"/>
    <x v="2"/>
  </r>
  <r>
    <n v="46"/>
    <x v="0"/>
    <s v="Travel_Rarely"/>
    <n v="261"/>
    <x v="1"/>
    <x v="11"/>
    <n v="2"/>
    <s v="Medical"/>
    <n v="1"/>
    <n v="1821"/>
    <n v="4"/>
    <s v="Female"/>
    <n v="66"/>
    <n v="3"/>
    <n v="2"/>
    <x v="4"/>
    <x v="1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  <x v="1"/>
    <x v="2"/>
    <x v="0"/>
  </r>
  <r>
    <n v="40"/>
    <x v="1"/>
    <s v="Travel_Rarely"/>
    <n v="1194"/>
    <x v="1"/>
    <x v="0"/>
    <n v="3"/>
    <s v="Life Sciences"/>
    <n v="1"/>
    <n v="1822"/>
    <n v="3"/>
    <s v="Female"/>
    <n v="52"/>
    <n v="3"/>
    <n v="2"/>
    <x v="4"/>
    <x v="0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  <x v="0"/>
    <x v="0"/>
    <x v="2"/>
  </r>
  <r>
    <n v="34"/>
    <x v="1"/>
    <s v="Travel_Rarely"/>
    <n v="810"/>
    <x v="0"/>
    <x v="1"/>
    <n v="2"/>
    <s v="Technical Degree"/>
    <n v="1"/>
    <n v="1823"/>
    <n v="2"/>
    <s v="Male"/>
    <n v="92"/>
    <n v="4"/>
    <n v="2"/>
    <x v="0"/>
    <x v="2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  <x v="2"/>
    <x v="0"/>
    <x v="0"/>
  </r>
  <r>
    <n v="58"/>
    <x v="1"/>
    <s v="Non-Travel"/>
    <n v="350"/>
    <x v="0"/>
    <x v="2"/>
    <n v="3"/>
    <s v="Medical"/>
    <n v="1"/>
    <n v="1824"/>
    <n v="2"/>
    <s v="Male"/>
    <n v="52"/>
    <n v="3"/>
    <n v="4"/>
    <x v="5"/>
    <x v="1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  <x v="1"/>
    <x v="2"/>
    <x v="3"/>
  </r>
  <r>
    <n v="35"/>
    <x v="1"/>
    <s v="Travel_Rarely"/>
    <n v="185"/>
    <x v="1"/>
    <x v="5"/>
    <n v="4"/>
    <s v="Medical"/>
    <n v="1"/>
    <n v="1826"/>
    <n v="2"/>
    <s v="Male"/>
    <n v="91"/>
    <n v="1"/>
    <n v="1"/>
    <x v="2"/>
    <x v="2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  <x v="2"/>
    <x v="1"/>
    <x v="2"/>
  </r>
  <r>
    <n v="47"/>
    <x v="1"/>
    <s v="Travel_Rarely"/>
    <n v="1001"/>
    <x v="1"/>
    <x v="18"/>
    <n v="3"/>
    <s v="Life Sciences"/>
    <n v="1"/>
    <n v="1827"/>
    <n v="3"/>
    <s v="Female"/>
    <n v="92"/>
    <n v="2"/>
    <n v="3"/>
    <x v="3"/>
    <x v="1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  <x v="1"/>
    <x v="2"/>
    <x v="3"/>
  </r>
  <r>
    <n v="40"/>
    <x v="1"/>
    <s v="Travel_Rarely"/>
    <n v="750"/>
    <x v="1"/>
    <x v="20"/>
    <n v="3"/>
    <s v="Life Sciences"/>
    <n v="1"/>
    <n v="1829"/>
    <n v="2"/>
    <s v="Female"/>
    <n v="47"/>
    <n v="3"/>
    <n v="2"/>
    <x v="4"/>
    <x v="3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  <x v="0"/>
    <x v="0"/>
    <x v="0"/>
  </r>
  <r>
    <n v="54"/>
    <x v="1"/>
    <s v="Travel_Rarely"/>
    <n v="431"/>
    <x v="1"/>
    <x v="15"/>
    <n v="4"/>
    <s v="Medical"/>
    <n v="1"/>
    <n v="1830"/>
    <n v="4"/>
    <s v="Female"/>
    <n v="68"/>
    <n v="3"/>
    <n v="2"/>
    <x v="1"/>
    <x v="0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  <x v="1"/>
    <x v="0"/>
    <x v="0"/>
  </r>
  <r>
    <n v="31"/>
    <x v="1"/>
    <s v="Travel_Frequently"/>
    <n v="1125"/>
    <x v="0"/>
    <x v="15"/>
    <n v="4"/>
    <s v="Marketing"/>
    <n v="1"/>
    <n v="1833"/>
    <n v="1"/>
    <s v="Female"/>
    <n v="68"/>
    <n v="3"/>
    <n v="3"/>
    <x v="0"/>
    <x v="3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  <x v="2"/>
    <x v="2"/>
    <x v="2"/>
  </r>
  <r>
    <n v="28"/>
    <x v="1"/>
    <s v="Travel_Rarely"/>
    <n v="1217"/>
    <x v="1"/>
    <x v="0"/>
    <n v="3"/>
    <s v="Medical"/>
    <n v="1"/>
    <n v="1834"/>
    <n v="3"/>
    <s v="Female"/>
    <n v="67"/>
    <n v="3"/>
    <n v="1"/>
    <x v="1"/>
    <x v="3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  <x v="2"/>
    <x v="0"/>
    <x v="2"/>
  </r>
  <r>
    <n v="38"/>
    <x v="1"/>
    <s v="Travel_Rarely"/>
    <n v="723"/>
    <x v="0"/>
    <x v="2"/>
    <n v="4"/>
    <s v="Marketing"/>
    <n v="1"/>
    <n v="1835"/>
    <n v="2"/>
    <s v="Female"/>
    <n v="77"/>
    <n v="1"/>
    <n v="2"/>
    <x v="6"/>
    <x v="0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  <x v="0"/>
    <x v="0"/>
    <x v="2"/>
  </r>
  <r>
    <n v="26"/>
    <x v="1"/>
    <s v="Travel_Rarely"/>
    <n v="572"/>
    <x v="0"/>
    <x v="17"/>
    <n v="3"/>
    <s v="Medical"/>
    <n v="1"/>
    <n v="1836"/>
    <n v="3"/>
    <s v="Male"/>
    <n v="46"/>
    <n v="3"/>
    <n v="2"/>
    <x v="0"/>
    <x v="0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  <x v="2"/>
    <x v="0"/>
    <x v="2"/>
  </r>
  <r>
    <n v="58"/>
    <x v="1"/>
    <s v="Travel_Frequently"/>
    <n v="1216"/>
    <x v="1"/>
    <x v="8"/>
    <n v="4"/>
    <s v="Life Sciences"/>
    <n v="1"/>
    <n v="1837"/>
    <n v="1"/>
    <s v="Male"/>
    <n v="87"/>
    <n v="3"/>
    <n v="4"/>
    <x v="7"/>
    <x v="2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  <x v="1"/>
    <x v="2"/>
    <x v="1"/>
  </r>
  <r>
    <n v="18"/>
    <x v="1"/>
    <s v="Non-Travel"/>
    <n v="1431"/>
    <x v="1"/>
    <x v="24"/>
    <n v="3"/>
    <s v="Medical"/>
    <n v="1"/>
    <n v="1839"/>
    <n v="2"/>
    <s v="Female"/>
    <n v="33"/>
    <n v="3"/>
    <n v="1"/>
    <x v="1"/>
    <x v="2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  <x v="3"/>
    <x v="1"/>
    <x v="1"/>
  </r>
  <r>
    <n v="31"/>
    <x v="0"/>
    <s v="Travel_Rarely"/>
    <n v="359"/>
    <x v="2"/>
    <x v="21"/>
    <n v="5"/>
    <s v="Human Resources"/>
    <n v="1"/>
    <n v="1842"/>
    <n v="4"/>
    <s v="Male"/>
    <n v="89"/>
    <n v="4"/>
    <n v="1"/>
    <x v="8"/>
    <x v="3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  <x v="2"/>
    <x v="1"/>
    <x v="1"/>
  </r>
  <r>
    <n v="29"/>
    <x v="0"/>
    <s v="Travel_Rarely"/>
    <n v="350"/>
    <x v="2"/>
    <x v="28"/>
    <n v="3"/>
    <s v="Human Resources"/>
    <n v="1"/>
    <n v="1844"/>
    <n v="1"/>
    <s v="Male"/>
    <n v="56"/>
    <n v="2"/>
    <n v="1"/>
    <x v="8"/>
    <x v="3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  <x v="2"/>
    <x v="1"/>
    <x v="1"/>
  </r>
  <r>
    <n v="45"/>
    <x v="1"/>
    <s v="Non-Travel"/>
    <n v="589"/>
    <x v="0"/>
    <x v="2"/>
    <n v="4"/>
    <s v="Life Sciences"/>
    <n v="1"/>
    <n v="1845"/>
    <n v="3"/>
    <s v="Female"/>
    <n v="67"/>
    <n v="3"/>
    <n v="2"/>
    <x v="0"/>
    <x v="2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  <x v="0"/>
    <x v="0"/>
    <x v="0"/>
  </r>
  <r>
    <n v="36"/>
    <x v="1"/>
    <s v="Travel_Rarely"/>
    <n v="430"/>
    <x v="1"/>
    <x v="2"/>
    <n v="4"/>
    <s v="Other"/>
    <n v="1"/>
    <n v="1847"/>
    <n v="4"/>
    <s v="Female"/>
    <n v="73"/>
    <n v="3"/>
    <n v="2"/>
    <x v="1"/>
    <x v="1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  <x v="0"/>
    <x v="0"/>
    <x v="1"/>
  </r>
  <r>
    <n v="43"/>
    <x v="1"/>
    <s v="Travel_Frequently"/>
    <n v="1422"/>
    <x v="0"/>
    <x v="2"/>
    <n v="4"/>
    <s v="Life Sciences"/>
    <n v="1"/>
    <n v="1849"/>
    <n v="1"/>
    <s v="Male"/>
    <n v="92"/>
    <n v="3"/>
    <n v="2"/>
    <x v="0"/>
    <x v="0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  <x v="0"/>
    <x v="0"/>
    <x v="0"/>
  </r>
  <r>
    <n v="27"/>
    <x v="1"/>
    <s v="Travel_Frequently"/>
    <n v="1297"/>
    <x v="1"/>
    <x v="12"/>
    <n v="2"/>
    <s v="Life Sciences"/>
    <n v="1"/>
    <n v="1850"/>
    <n v="4"/>
    <s v="Female"/>
    <n v="53"/>
    <n v="3"/>
    <n v="1"/>
    <x v="2"/>
    <x v="0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  <x v="2"/>
    <x v="1"/>
    <x v="2"/>
  </r>
  <r>
    <n v="29"/>
    <x v="1"/>
    <s v="Travel_Frequently"/>
    <n v="574"/>
    <x v="1"/>
    <x v="25"/>
    <n v="1"/>
    <s v="Medical"/>
    <n v="1"/>
    <n v="1852"/>
    <n v="4"/>
    <s v="Male"/>
    <n v="40"/>
    <n v="3"/>
    <n v="1"/>
    <x v="2"/>
    <x v="0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  <x v="2"/>
    <x v="0"/>
    <x v="3"/>
  </r>
  <r>
    <n v="32"/>
    <x v="1"/>
    <s v="Travel_Frequently"/>
    <n v="1318"/>
    <x v="0"/>
    <x v="17"/>
    <n v="4"/>
    <s v="Marketing"/>
    <n v="1"/>
    <n v="1853"/>
    <n v="4"/>
    <s v="Male"/>
    <n v="79"/>
    <n v="3"/>
    <n v="2"/>
    <x v="0"/>
    <x v="0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  <x v="2"/>
    <x v="0"/>
    <x v="1"/>
  </r>
  <r>
    <n v="42"/>
    <x v="1"/>
    <s v="Non-Travel"/>
    <n v="355"/>
    <x v="1"/>
    <x v="17"/>
    <n v="4"/>
    <s v="Technical Degree"/>
    <n v="1"/>
    <n v="1854"/>
    <n v="3"/>
    <s v="Male"/>
    <n v="38"/>
    <n v="3"/>
    <n v="1"/>
    <x v="1"/>
    <x v="2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  <x v="0"/>
    <x v="1"/>
    <x v="0"/>
  </r>
  <r>
    <n v="47"/>
    <x v="1"/>
    <s v="Travel_Rarely"/>
    <n v="207"/>
    <x v="1"/>
    <x v="14"/>
    <n v="4"/>
    <s v="Life Sciences"/>
    <n v="1"/>
    <n v="1856"/>
    <n v="2"/>
    <s v="Female"/>
    <n v="64"/>
    <n v="3"/>
    <n v="1"/>
    <x v="2"/>
    <x v="2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  <x v="1"/>
    <x v="1"/>
    <x v="1"/>
  </r>
  <r>
    <n v="46"/>
    <x v="1"/>
    <s v="Travel_Rarely"/>
    <n v="706"/>
    <x v="1"/>
    <x v="2"/>
    <n v="2"/>
    <s v="Life Sciences"/>
    <n v="1"/>
    <n v="1857"/>
    <n v="4"/>
    <s v="Male"/>
    <n v="82"/>
    <n v="3"/>
    <n v="3"/>
    <x v="3"/>
    <x v="0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  <x v="1"/>
    <x v="2"/>
    <x v="0"/>
  </r>
  <r>
    <n v="28"/>
    <x v="1"/>
    <s v="Non-Travel"/>
    <n v="280"/>
    <x v="2"/>
    <x v="0"/>
    <n v="2"/>
    <s v="Life Sciences"/>
    <n v="1"/>
    <n v="1858"/>
    <n v="3"/>
    <s v="Male"/>
    <n v="43"/>
    <n v="3"/>
    <n v="1"/>
    <x v="8"/>
    <x v="0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  <x v="2"/>
    <x v="1"/>
    <x v="2"/>
  </r>
  <r>
    <n v="29"/>
    <x v="1"/>
    <s v="Travel_Rarely"/>
    <n v="726"/>
    <x v="1"/>
    <x v="22"/>
    <n v="1"/>
    <s v="Life Sciences"/>
    <n v="1"/>
    <n v="1859"/>
    <n v="4"/>
    <s v="Male"/>
    <n v="93"/>
    <n v="1"/>
    <n v="2"/>
    <x v="4"/>
    <x v="2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  <x v="2"/>
    <x v="0"/>
    <x v="0"/>
  </r>
  <r>
    <n v="42"/>
    <x v="1"/>
    <s v="Travel_Rarely"/>
    <n v="1142"/>
    <x v="1"/>
    <x v="1"/>
    <n v="3"/>
    <s v="Life Sciences"/>
    <n v="1"/>
    <n v="1860"/>
    <n v="4"/>
    <s v="Male"/>
    <n v="81"/>
    <n v="3"/>
    <n v="1"/>
    <x v="2"/>
    <x v="2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  <x v="0"/>
    <x v="0"/>
    <x v="1"/>
  </r>
  <r>
    <n v="32"/>
    <x v="0"/>
    <s v="Travel_Rarely"/>
    <n v="414"/>
    <x v="0"/>
    <x v="2"/>
    <n v="4"/>
    <s v="Marketing"/>
    <n v="1"/>
    <n v="1862"/>
    <n v="3"/>
    <s v="Male"/>
    <n v="82"/>
    <n v="2"/>
    <n v="2"/>
    <x v="0"/>
    <x v="1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  <x v="2"/>
    <x v="2"/>
    <x v="1"/>
  </r>
  <r>
    <n v="46"/>
    <x v="1"/>
    <s v="Travel_Rarely"/>
    <n v="1319"/>
    <x v="0"/>
    <x v="3"/>
    <n v="3"/>
    <s v="Technical Degree"/>
    <n v="1"/>
    <n v="1863"/>
    <n v="1"/>
    <s v="Female"/>
    <n v="45"/>
    <n v="4"/>
    <n v="4"/>
    <x v="0"/>
    <x v="3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  <x v="1"/>
    <x v="2"/>
    <x v="3"/>
  </r>
  <r>
    <n v="27"/>
    <x v="1"/>
    <s v="Travel_Rarely"/>
    <n v="728"/>
    <x v="0"/>
    <x v="5"/>
    <n v="1"/>
    <s v="Medical"/>
    <n v="1"/>
    <n v="1864"/>
    <n v="2"/>
    <s v="Female"/>
    <n v="36"/>
    <n v="2"/>
    <n v="2"/>
    <x v="6"/>
    <x v="2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  <x v="2"/>
    <x v="0"/>
    <x v="0"/>
  </r>
  <r>
    <n v="29"/>
    <x v="1"/>
    <s v="Travel_Rarely"/>
    <n v="352"/>
    <x v="2"/>
    <x v="16"/>
    <n v="1"/>
    <s v="Medical"/>
    <n v="1"/>
    <n v="1865"/>
    <n v="4"/>
    <s v="Male"/>
    <n v="87"/>
    <n v="2"/>
    <n v="1"/>
    <x v="8"/>
    <x v="1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  <x v="2"/>
    <x v="1"/>
    <x v="1"/>
  </r>
  <r>
    <n v="43"/>
    <x v="1"/>
    <s v="Travel_Rarely"/>
    <n v="823"/>
    <x v="1"/>
    <x v="16"/>
    <n v="3"/>
    <s v="Medical"/>
    <n v="1"/>
    <n v="1866"/>
    <n v="1"/>
    <s v="Female"/>
    <n v="81"/>
    <n v="2"/>
    <n v="5"/>
    <x v="5"/>
    <x v="2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  <x v="0"/>
    <x v="2"/>
    <x v="3"/>
  </r>
  <r>
    <n v="48"/>
    <x v="1"/>
    <s v="Travel_Rarely"/>
    <n v="1224"/>
    <x v="1"/>
    <x v="17"/>
    <n v="3"/>
    <s v="Life Sciences"/>
    <n v="1"/>
    <n v="1867"/>
    <n v="4"/>
    <s v="Male"/>
    <n v="91"/>
    <n v="2"/>
    <n v="5"/>
    <x v="7"/>
    <x v="1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  <x v="1"/>
    <x v="2"/>
    <x v="3"/>
  </r>
  <r>
    <n v="29"/>
    <x v="0"/>
    <s v="Travel_Frequently"/>
    <n v="459"/>
    <x v="1"/>
    <x v="4"/>
    <n v="2"/>
    <s v="Life Sciences"/>
    <n v="1"/>
    <n v="1868"/>
    <n v="4"/>
    <s v="Male"/>
    <n v="73"/>
    <n v="2"/>
    <n v="1"/>
    <x v="1"/>
    <x v="0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  <x v="2"/>
    <x v="1"/>
    <x v="1"/>
  </r>
  <r>
    <n v="46"/>
    <x v="0"/>
    <s v="Travel_Rarely"/>
    <n v="1254"/>
    <x v="0"/>
    <x v="17"/>
    <n v="3"/>
    <s v="Life Sciences"/>
    <n v="1"/>
    <n v="1869"/>
    <n v="3"/>
    <s v="Female"/>
    <n v="64"/>
    <n v="3"/>
    <n v="3"/>
    <x v="0"/>
    <x v="1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  <x v="1"/>
    <x v="2"/>
    <x v="0"/>
  </r>
  <r>
    <n v="27"/>
    <x v="1"/>
    <s v="Travel_Frequently"/>
    <n v="1131"/>
    <x v="1"/>
    <x v="8"/>
    <n v="3"/>
    <s v="Life Sciences"/>
    <n v="1"/>
    <n v="1870"/>
    <n v="4"/>
    <s v="Female"/>
    <n v="77"/>
    <n v="2"/>
    <n v="1"/>
    <x v="1"/>
    <x v="3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  <x v="2"/>
    <x v="0"/>
    <x v="0"/>
  </r>
  <r>
    <n v="39"/>
    <x v="1"/>
    <s v="Travel_Rarely"/>
    <n v="835"/>
    <x v="1"/>
    <x v="10"/>
    <n v="4"/>
    <s v="Other"/>
    <n v="1"/>
    <n v="1871"/>
    <n v="4"/>
    <s v="Male"/>
    <n v="41"/>
    <n v="3"/>
    <n v="2"/>
    <x v="1"/>
    <x v="0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  <x v="0"/>
    <x v="0"/>
    <x v="1"/>
  </r>
  <r>
    <n v="55"/>
    <x v="1"/>
    <s v="Travel_Rarely"/>
    <n v="836"/>
    <x v="1"/>
    <x v="2"/>
    <n v="4"/>
    <s v="Technical Degree"/>
    <n v="1"/>
    <n v="1873"/>
    <n v="2"/>
    <s v="Male"/>
    <n v="98"/>
    <n v="2"/>
    <n v="1"/>
    <x v="1"/>
    <x v="0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  <x v="1"/>
    <x v="1"/>
    <x v="2"/>
  </r>
  <r>
    <n v="28"/>
    <x v="1"/>
    <s v="Travel_Rarely"/>
    <n v="1172"/>
    <x v="0"/>
    <x v="3"/>
    <n v="3"/>
    <s v="Medical"/>
    <n v="1"/>
    <n v="1875"/>
    <n v="2"/>
    <s v="Female"/>
    <n v="78"/>
    <n v="3"/>
    <n v="1"/>
    <x v="6"/>
    <x v="1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  <x v="2"/>
    <x v="1"/>
    <x v="1"/>
  </r>
  <r>
    <n v="30"/>
    <x v="0"/>
    <s v="Travel_Rarely"/>
    <n v="945"/>
    <x v="0"/>
    <x v="14"/>
    <n v="3"/>
    <s v="Medical"/>
    <n v="1"/>
    <n v="1876"/>
    <n v="2"/>
    <s v="Male"/>
    <n v="89"/>
    <n v="3"/>
    <n v="1"/>
    <x v="6"/>
    <x v="0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  <x v="2"/>
    <x v="1"/>
    <x v="1"/>
  </r>
  <r>
    <n v="22"/>
    <x v="0"/>
    <s v="Travel_Rarely"/>
    <n v="391"/>
    <x v="1"/>
    <x v="15"/>
    <n v="1"/>
    <s v="Life Sciences"/>
    <n v="1"/>
    <n v="1878"/>
    <n v="4"/>
    <s v="Male"/>
    <n v="75"/>
    <n v="3"/>
    <n v="1"/>
    <x v="1"/>
    <x v="1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  <x v="3"/>
    <x v="1"/>
    <x v="1"/>
  </r>
  <r>
    <n v="36"/>
    <x v="1"/>
    <s v="Travel_Rarely"/>
    <n v="1266"/>
    <x v="0"/>
    <x v="17"/>
    <n v="4"/>
    <s v="Technical Degree"/>
    <n v="1"/>
    <n v="1880"/>
    <n v="2"/>
    <s v="Female"/>
    <n v="63"/>
    <n v="2"/>
    <n v="2"/>
    <x v="0"/>
    <x v="2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  <x v="0"/>
    <x v="0"/>
    <x v="0"/>
  </r>
  <r>
    <n v="31"/>
    <x v="1"/>
    <s v="Travel_Rarely"/>
    <n v="311"/>
    <x v="1"/>
    <x v="25"/>
    <n v="3"/>
    <s v="Life Sciences"/>
    <n v="1"/>
    <n v="1881"/>
    <n v="2"/>
    <s v="Male"/>
    <n v="89"/>
    <n v="3"/>
    <n v="2"/>
    <x v="2"/>
    <x v="2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  <x v="2"/>
    <x v="0"/>
    <x v="0"/>
  </r>
  <r>
    <n v="34"/>
    <x v="1"/>
    <s v="Travel_Rarely"/>
    <n v="1480"/>
    <x v="0"/>
    <x v="18"/>
    <n v="3"/>
    <s v="Life Sciences"/>
    <n v="1"/>
    <n v="1882"/>
    <n v="3"/>
    <s v="Male"/>
    <n v="64"/>
    <n v="3"/>
    <n v="3"/>
    <x v="0"/>
    <x v="0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  <x v="2"/>
    <x v="2"/>
    <x v="2"/>
  </r>
  <r>
    <n v="29"/>
    <x v="1"/>
    <s v="Travel_Rarely"/>
    <n v="592"/>
    <x v="1"/>
    <x v="15"/>
    <n v="3"/>
    <s v="Life Sciences"/>
    <n v="1"/>
    <n v="1883"/>
    <n v="4"/>
    <s v="Male"/>
    <n v="59"/>
    <n v="3"/>
    <n v="1"/>
    <x v="2"/>
    <x v="3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  <x v="2"/>
    <x v="1"/>
    <x v="2"/>
  </r>
  <r>
    <n v="37"/>
    <x v="1"/>
    <s v="Travel_Rarely"/>
    <n v="783"/>
    <x v="1"/>
    <x v="15"/>
    <n v="4"/>
    <s v="Medical"/>
    <n v="1"/>
    <n v="1885"/>
    <n v="4"/>
    <s v="Male"/>
    <n v="78"/>
    <n v="3"/>
    <n v="2"/>
    <x v="1"/>
    <x v="3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  <x v="0"/>
    <x v="0"/>
    <x v="2"/>
  </r>
  <r>
    <n v="35"/>
    <x v="1"/>
    <s v="Travel_Rarely"/>
    <n v="219"/>
    <x v="1"/>
    <x v="7"/>
    <n v="2"/>
    <s v="Other"/>
    <n v="1"/>
    <n v="1886"/>
    <n v="4"/>
    <s v="Female"/>
    <n v="44"/>
    <n v="2"/>
    <n v="2"/>
    <x v="3"/>
    <x v="1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  <x v="2"/>
    <x v="0"/>
    <x v="2"/>
  </r>
  <r>
    <n v="45"/>
    <x v="1"/>
    <s v="Travel_Rarely"/>
    <n v="556"/>
    <x v="1"/>
    <x v="19"/>
    <n v="2"/>
    <s v="Life Sciences"/>
    <n v="1"/>
    <n v="1888"/>
    <n v="2"/>
    <s v="Female"/>
    <n v="93"/>
    <n v="2"/>
    <n v="2"/>
    <x v="3"/>
    <x v="0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  <x v="0"/>
    <x v="0"/>
    <x v="0"/>
  </r>
  <r>
    <n v="36"/>
    <x v="1"/>
    <s v="Travel_Frequently"/>
    <n v="1213"/>
    <x v="2"/>
    <x v="2"/>
    <n v="1"/>
    <s v="Human Resources"/>
    <n v="1"/>
    <n v="1890"/>
    <n v="2"/>
    <s v="Male"/>
    <n v="94"/>
    <n v="2"/>
    <n v="2"/>
    <x v="8"/>
    <x v="0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  <x v="0"/>
    <x v="0"/>
    <x v="0"/>
  </r>
  <r>
    <n v="40"/>
    <x v="1"/>
    <s v="Travel_Rarely"/>
    <n v="1137"/>
    <x v="1"/>
    <x v="0"/>
    <n v="4"/>
    <s v="Life Sciences"/>
    <n v="1"/>
    <n v="1892"/>
    <n v="1"/>
    <s v="Male"/>
    <n v="98"/>
    <n v="3"/>
    <n v="4"/>
    <x v="5"/>
    <x v="3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  <x v="0"/>
    <x v="2"/>
    <x v="3"/>
  </r>
  <r>
    <n v="26"/>
    <x v="1"/>
    <s v="Travel_Rarely"/>
    <n v="482"/>
    <x v="1"/>
    <x v="0"/>
    <n v="2"/>
    <s v="Life Sciences"/>
    <n v="1"/>
    <n v="1893"/>
    <n v="2"/>
    <s v="Female"/>
    <n v="90"/>
    <n v="2"/>
    <n v="1"/>
    <x v="1"/>
    <x v="2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  <x v="2"/>
    <x v="1"/>
    <x v="1"/>
  </r>
  <r>
    <n v="27"/>
    <x v="1"/>
    <s v="Travel_Rarely"/>
    <n v="511"/>
    <x v="0"/>
    <x v="2"/>
    <n v="2"/>
    <s v="Medical"/>
    <n v="1"/>
    <n v="1898"/>
    <n v="1"/>
    <s v="Female"/>
    <n v="89"/>
    <n v="4"/>
    <n v="2"/>
    <x v="0"/>
    <x v="2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  <x v="2"/>
    <x v="0"/>
    <x v="0"/>
  </r>
  <r>
    <n v="48"/>
    <x v="1"/>
    <s v="Travel_Frequently"/>
    <n v="117"/>
    <x v="1"/>
    <x v="23"/>
    <n v="3"/>
    <s v="Medical"/>
    <n v="1"/>
    <n v="1900"/>
    <n v="4"/>
    <s v="Female"/>
    <n v="58"/>
    <n v="3"/>
    <n v="4"/>
    <x v="5"/>
    <x v="0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  <x v="1"/>
    <x v="2"/>
    <x v="3"/>
  </r>
  <r>
    <n v="44"/>
    <x v="1"/>
    <s v="Travel_Rarely"/>
    <n v="170"/>
    <x v="1"/>
    <x v="0"/>
    <n v="4"/>
    <s v="Life Sciences"/>
    <n v="1"/>
    <n v="1903"/>
    <n v="2"/>
    <s v="Male"/>
    <n v="78"/>
    <n v="4"/>
    <n v="2"/>
    <x v="4"/>
    <x v="3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  <x v="0"/>
    <x v="0"/>
    <x v="1"/>
  </r>
  <r>
    <n v="34"/>
    <x v="0"/>
    <s v="Non-Travel"/>
    <n v="967"/>
    <x v="1"/>
    <x v="7"/>
    <n v="4"/>
    <s v="Technical Degree"/>
    <n v="1"/>
    <n v="1905"/>
    <n v="4"/>
    <s v="Male"/>
    <n v="85"/>
    <n v="1"/>
    <n v="1"/>
    <x v="1"/>
    <x v="3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  <x v="2"/>
    <x v="1"/>
    <x v="2"/>
  </r>
  <r>
    <n v="56"/>
    <x v="0"/>
    <s v="Travel_Rarely"/>
    <n v="1162"/>
    <x v="1"/>
    <x v="4"/>
    <n v="2"/>
    <s v="Life Sciences"/>
    <n v="1"/>
    <n v="1907"/>
    <n v="1"/>
    <s v="Male"/>
    <n v="97"/>
    <n v="3"/>
    <n v="1"/>
    <x v="2"/>
    <x v="0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  <x v="1"/>
    <x v="1"/>
    <x v="2"/>
  </r>
  <r>
    <n v="36"/>
    <x v="1"/>
    <s v="Travel_Rarely"/>
    <n v="335"/>
    <x v="0"/>
    <x v="27"/>
    <n v="2"/>
    <s v="Marketing"/>
    <n v="1"/>
    <n v="1908"/>
    <n v="3"/>
    <s v="Male"/>
    <n v="33"/>
    <n v="2"/>
    <n v="2"/>
    <x v="0"/>
    <x v="1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  <x v="0"/>
    <x v="0"/>
    <x v="2"/>
  </r>
  <r>
    <n v="41"/>
    <x v="1"/>
    <s v="Travel_Rarely"/>
    <n v="337"/>
    <x v="0"/>
    <x v="1"/>
    <n v="3"/>
    <s v="Marketing"/>
    <n v="1"/>
    <n v="1909"/>
    <n v="3"/>
    <s v="Female"/>
    <n v="54"/>
    <n v="3"/>
    <n v="2"/>
    <x v="0"/>
    <x v="1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  <x v="0"/>
    <x v="0"/>
    <x v="2"/>
  </r>
  <r>
    <n v="42"/>
    <x v="1"/>
    <s v="Travel_Rarely"/>
    <n v="1396"/>
    <x v="1"/>
    <x v="16"/>
    <n v="3"/>
    <s v="Medical"/>
    <n v="1"/>
    <n v="1911"/>
    <n v="3"/>
    <s v="Male"/>
    <n v="83"/>
    <n v="3"/>
    <n v="3"/>
    <x v="7"/>
    <x v="3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  <x v="0"/>
    <x v="2"/>
    <x v="3"/>
  </r>
  <r>
    <n v="31"/>
    <x v="1"/>
    <s v="Travel_Rarely"/>
    <n v="1079"/>
    <x v="0"/>
    <x v="17"/>
    <n v="2"/>
    <s v="Medical"/>
    <n v="1"/>
    <n v="1912"/>
    <n v="3"/>
    <s v="Female"/>
    <n v="86"/>
    <n v="3"/>
    <n v="2"/>
    <x v="0"/>
    <x v="0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  <x v="2"/>
    <x v="0"/>
    <x v="2"/>
  </r>
  <r>
    <n v="34"/>
    <x v="1"/>
    <s v="Travel_Rarely"/>
    <n v="735"/>
    <x v="0"/>
    <x v="3"/>
    <n v="1"/>
    <s v="Medical"/>
    <n v="1"/>
    <n v="1915"/>
    <n v="4"/>
    <s v="Female"/>
    <n v="75"/>
    <n v="2"/>
    <n v="2"/>
    <x v="0"/>
    <x v="0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  <x v="2"/>
    <x v="2"/>
    <x v="2"/>
  </r>
  <r>
    <n v="31"/>
    <x v="1"/>
    <s v="Travel_Rarely"/>
    <n v="471"/>
    <x v="1"/>
    <x v="18"/>
    <n v="3"/>
    <s v="Medical"/>
    <n v="1"/>
    <n v="1916"/>
    <n v="1"/>
    <s v="Female"/>
    <n v="62"/>
    <n v="4"/>
    <n v="1"/>
    <x v="2"/>
    <x v="2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  <x v="2"/>
    <x v="0"/>
    <x v="1"/>
  </r>
  <r>
    <n v="26"/>
    <x v="1"/>
    <s v="Travel_Frequently"/>
    <n v="1096"/>
    <x v="1"/>
    <x v="16"/>
    <n v="3"/>
    <s v="Other"/>
    <n v="1"/>
    <n v="1918"/>
    <n v="3"/>
    <s v="Male"/>
    <n v="61"/>
    <n v="4"/>
    <n v="1"/>
    <x v="2"/>
    <x v="0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  <x v="2"/>
    <x v="1"/>
    <x v="0"/>
  </r>
  <r>
    <n v="45"/>
    <x v="1"/>
    <s v="Travel_Frequently"/>
    <n v="1297"/>
    <x v="1"/>
    <x v="0"/>
    <n v="4"/>
    <s v="Medical"/>
    <n v="1"/>
    <n v="1922"/>
    <n v="2"/>
    <s v="Male"/>
    <n v="44"/>
    <n v="3"/>
    <n v="2"/>
    <x v="4"/>
    <x v="2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  <x v="0"/>
    <x v="0"/>
    <x v="2"/>
  </r>
  <r>
    <n v="33"/>
    <x v="1"/>
    <s v="Travel_Rarely"/>
    <n v="217"/>
    <x v="0"/>
    <x v="17"/>
    <n v="4"/>
    <s v="Marketing"/>
    <n v="1"/>
    <n v="1924"/>
    <n v="2"/>
    <s v="Male"/>
    <n v="43"/>
    <n v="3"/>
    <n v="2"/>
    <x v="0"/>
    <x v="2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  <x v="2"/>
    <x v="0"/>
    <x v="0"/>
  </r>
  <r>
    <n v="28"/>
    <x v="1"/>
    <s v="Travel_Frequently"/>
    <n v="783"/>
    <x v="0"/>
    <x v="0"/>
    <n v="2"/>
    <s v="Life Sciences"/>
    <n v="1"/>
    <n v="1927"/>
    <n v="3"/>
    <s v="Male"/>
    <n v="42"/>
    <n v="2"/>
    <n v="2"/>
    <x v="0"/>
    <x v="0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  <x v="2"/>
    <x v="0"/>
    <x v="0"/>
  </r>
  <r>
    <n v="29"/>
    <x v="0"/>
    <s v="Travel_Frequently"/>
    <n v="746"/>
    <x v="0"/>
    <x v="4"/>
    <n v="3"/>
    <s v="Technical Degree"/>
    <n v="1"/>
    <n v="1928"/>
    <n v="3"/>
    <s v="Male"/>
    <n v="45"/>
    <n v="4"/>
    <n v="1"/>
    <x v="6"/>
    <x v="3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  <x v="2"/>
    <x v="1"/>
    <x v="1"/>
  </r>
  <r>
    <n v="39"/>
    <x v="1"/>
    <s v="Non-Travel"/>
    <n v="1251"/>
    <x v="0"/>
    <x v="11"/>
    <n v="4"/>
    <s v="Life Sciences"/>
    <n v="1"/>
    <n v="1929"/>
    <n v="1"/>
    <s v="Female"/>
    <n v="32"/>
    <n v="1"/>
    <n v="2"/>
    <x v="0"/>
    <x v="2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  <x v="0"/>
    <x v="0"/>
    <x v="2"/>
  </r>
  <r>
    <n v="27"/>
    <x v="1"/>
    <s v="Travel_Rarely"/>
    <n v="1354"/>
    <x v="1"/>
    <x v="2"/>
    <n v="4"/>
    <s v="Technical Degree"/>
    <n v="1"/>
    <n v="1931"/>
    <n v="2"/>
    <s v="Male"/>
    <n v="41"/>
    <n v="3"/>
    <n v="1"/>
    <x v="1"/>
    <x v="1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  <x v="2"/>
    <x v="1"/>
    <x v="2"/>
  </r>
  <r>
    <n v="34"/>
    <x v="1"/>
    <s v="Travel_Frequently"/>
    <n v="735"/>
    <x v="1"/>
    <x v="23"/>
    <n v="4"/>
    <s v="Other"/>
    <n v="1"/>
    <n v="1932"/>
    <n v="3"/>
    <s v="Male"/>
    <n v="86"/>
    <n v="2"/>
    <n v="2"/>
    <x v="1"/>
    <x v="0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  <x v="2"/>
    <x v="0"/>
    <x v="3"/>
  </r>
  <r>
    <n v="28"/>
    <x v="0"/>
    <s v="Travel_Rarely"/>
    <n v="1475"/>
    <x v="0"/>
    <x v="28"/>
    <n v="2"/>
    <s v="Marketing"/>
    <n v="1"/>
    <n v="1933"/>
    <n v="4"/>
    <s v="Female"/>
    <n v="84"/>
    <n v="3"/>
    <n v="2"/>
    <x v="0"/>
    <x v="2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  <x v="2"/>
    <x v="2"/>
    <x v="1"/>
  </r>
  <r>
    <n v="47"/>
    <x v="1"/>
    <s v="Non-Travel"/>
    <n v="1169"/>
    <x v="1"/>
    <x v="24"/>
    <n v="4"/>
    <s v="Technical Degree"/>
    <n v="1"/>
    <n v="1934"/>
    <n v="3"/>
    <s v="Male"/>
    <n v="64"/>
    <n v="3"/>
    <n v="2"/>
    <x v="1"/>
    <x v="1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  <x v="1"/>
    <x v="0"/>
    <x v="0"/>
  </r>
  <r>
    <n v="56"/>
    <x v="1"/>
    <s v="Travel_Rarely"/>
    <n v="1443"/>
    <x v="0"/>
    <x v="13"/>
    <n v="5"/>
    <s v="Marketing"/>
    <n v="1"/>
    <n v="1935"/>
    <n v="4"/>
    <s v="Female"/>
    <n v="89"/>
    <n v="2"/>
    <n v="2"/>
    <x v="0"/>
    <x v="3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  <x v="1"/>
    <x v="0"/>
    <x v="1"/>
  </r>
  <r>
    <n v="39"/>
    <x v="1"/>
    <s v="Travel_Rarely"/>
    <n v="867"/>
    <x v="1"/>
    <x v="14"/>
    <n v="2"/>
    <s v="Medical"/>
    <n v="1"/>
    <n v="1936"/>
    <n v="1"/>
    <s v="Male"/>
    <n v="87"/>
    <n v="3"/>
    <n v="2"/>
    <x v="3"/>
    <x v="3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  <x v="0"/>
    <x v="0"/>
    <x v="0"/>
  </r>
  <r>
    <n v="38"/>
    <x v="1"/>
    <s v="Travel_Frequently"/>
    <n v="1394"/>
    <x v="1"/>
    <x v="1"/>
    <n v="3"/>
    <s v="Medical"/>
    <n v="1"/>
    <n v="1937"/>
    <n v="4"/>
    <s v="Female"/>
    <n v="58"/>
    <n v="2"/>
    <n v="2"/>
    <x v="1"/>
    <x v="1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  <x v="0"/>
    <x v="1"/>
    <x v="3"/>
  </r>
  <r>
    <n v="58"/>
    <x v="1"/>
    <s v="Travel_Rarely"/>
    <n v="605"/>
    <x v="0"/>
    <x v="11"/>
    <n v="3"/>
    <s v="Life Sciences"/>
    <n v="1"/>
    <n v="1938"/>
    <n v="4"/>
    <s v="Female"/>
    <n v="72"/>
    <n v="3"/>
    <n v="4"/>
    <x v="5"/>
    <x v="0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  <x v="1"/>
    <x v="2"/>
    <x v="1"/>
  </r>
  <r>
    <n v="32"/>
    <x v="0"/>
    <s v="Travel_Frequently"/>
    <n v="238"/>
    <x v="1"/>
    <x v="12"/>
    <n v="2"/>
    <s v="Life Sciences"/>
    <n v="1"/>
    <n v="1939"/>
    <n v="1"/>
    <s v="Female"/>
    <n v="47"/>
    <n v="4"/>
    <n v="1"/>
    <x v="1"/>
    <x v="2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  <x v="2"/>
    <x v="1"/>
    <x v="2"/>
  </r>
  <r>
    <n v="38"/>
    <x v="1"/>
    <s v="Travel_Rarely"/>
    <n v="1206"/>
    <x v="1"/>
    <x v="14"/>
    <n v="2"/>
    <s v="Life Sciences"/>
    <n v="1"/>
    <n v="1940"/>
    <n v="2"/>
    <s v="Male"/>
    <n v="71"/>
    <n v="3"/>
    <n v="1"/>
    <x v="1"/>
    <x v="0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  <x v="0"/>
    <x v="0"/>
    <x v="2"/>
  </r>
  <r>
    <n v="49"/>
    <x v="1"/>
    <s v="Travel_Frequently"/>
    <n v="1064"/>
    <x v="1"/>
    <x v="2"/>
    <n v="1"/>
    <s v="Life Sciences"/>
    <n v="1"/>
    <n v="1941"/>
    <n v="2"/>
    <s v="Male"/>
    <n v="42"/>
    <n v="3"/>
    <n v="5"/>
    <x v="7"/>
    <x v="0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  <x v="1"/>
    <x v="2"/>
    <x v="2"/>
  </r>
  <r>
    <n v="42"/>
    <x v="1"/>
    <s v="Travel_Rarely"/>
    <n v="419"/>
    <x v="0"/>
    <x v="20"/>
    <n v="4"/>
    <s v="Marketing"/>
    <n v="1"/>
    <n v="1943"/>
    <n v="2"/>
    <s v="Male"/>
    <n v="77"/>
    <n v="3"/>
    <n v="2"/>
    <x v="0"/>
    <x v="0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  <x v="0"/>
    <x v="0"/>
    <x v="1"/>
  </r>
  <r>
    <n v="27"/>
    <x v="0"/>
    <s v="Travel_Frequently"/>
    <n v="1337"/>
    <x v="2"/>
    <x v="23"/>
    <n v="3"/>
    <s v="Human Resources"/>
    <n v="1"/>
    <n v="1944"/>
    <n v="1"/>
    <s v="Female"/>
    <n v="58"/>
    <n v="2"/>
    <n v="1"/>
    <x v="8"/>
    <x v="1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  <x v="2"/>
    <x v="1"/>
    <x v="1"/>
  </r>
  <r>
    <n v="35"/>
    <x v="1"/>
    <s v="Travel_Rarely"/>
    <n v="682"/>
    <x v="0"/>
    <x v="21"/>
    <n v="4"/>
    <s v="Medical"/>
    <n v="1"/>
    <n v="1945"/>
    <n v="2"/>
    <s v="Male"/>
    <n v="71"/>
    <n v="3"/>
    <n v="2"/>
    <x v="0"/>
    <x v="3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  <x v="2"/>
    <x v="0"/>
    <x v="2"/>
  </r>
  <r>
    <n v="28"/>
    <x v="1"/>
    <s v="Non-Travel"/>
    <n v="1103"/>
    <x v="1"/>
    <x v="7"/>
    <n v="3"/>
    <s v="Medical"/>
    <n v="1"/>
    <n v="1947"/>
    <n v="3"/>
    <s v="Male"/>
    <n v="49"/>
    <n v="3"/>
    <n v="1"/>
    <x v="1"/>
    <x v="2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  <x v="2"/>
    <x v="1"/>
    <x v="2"/>
  </r>
  <r>
    <n v="31"/>
    <x v="1"/>
    <s v="Non-Travel"/>
    <n v="976"/>
    <x v="1"/>
    <x v="3"/>
    <n v="2"/>
    <s v="Medical"/>
    <n v="1"/>
    <n v="1948"/>
    <n v="3"/>
    <s v="Male"/>
    <n v="48"/>
    <n v="3"/>
    <n v="1"/>
    <x v="1"/>
    <x v="3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  <x v="2"/>
    <x v="0"/>
    <x v="2"/>
  </r>
  <r>
    <n v="36"/>
    <x v="1"/>
    <s v="Non-Travel"/>
    <n v="1351"/>
    <x v="1"/>
    <x v="14"/>
    <n v="4"/>
    <s v="Life Sciences"/>
    <n v="1"/>
    <n v="1949"/>
    <n v="1"/>
    <s v="Male"/>
    <n v="66"/>
    <n v="4"/>
    <n v="1"/>
    <x v="2"/>
    <x v="1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  <x v="0"/>
    <x v="1"/>
    <x v="2"/>
  </r>
  <r>
    <n v="34"/>
    <x v="1"/>
    <s v="Travel_Rarely"/>
    <n v="937"/>
    <x v="0"/>
    <x v="0"/>
    <n v="3"/>
    <s v="Marketing"/>
    <n v="1"/>
    <n v="1950"/>
    <n v="1"/>
    <s v="Male"/>
    <n v="32"/>
    <n v="3"/>
    <n v="3"/>
    <x v="0"/>
    <x v="0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  <x v="2"/>
    <x v="2"/>
    <x v="3"/>
  </r>
  <r>
    <n v="34"/>
    <x v="1"/>
    <s v="Travel_Rarely"/>
    <n v="1239"/>
    <x v="0"/>
    <x v="28"/>
    <n v="4"/>
    <s v="Medical"/>
    <n v="1"/>
    <n v="1951"/>
    <n v="4"/>
    <s v="Male"/>
    <n v="39"/>
    <n v="3"/>
    <n v="3"/>
    <x v="0"/>
    <x v="2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  <x v="2"/>
    <x v="2"/>
    <x v="0"/>
  </r>
  <r>
    <n v="26"/>
    <x v="1"/>
    <s v="Travel_Rarely"/>
    <n v="157"/>
    <x v="1"/>
    <x v="0"/>
    <n v="3"/>
    <s v="Medical"/>
    <n v="1"/>
    <n v="1952"/>
    <n v="3"/>
    <s v="Male"/>
    <n v="95"/>
    <n v="3"/>
    <n v="1"/>
    <x v="2"/>
    <x v="3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  <x v="2"/>
    <x v="1"/>
    <x v="0"/>
  </r>
  <r>
    <n v="29"/>
    <x v="1"/>
    <s v="Travel_Rarely"/>
    <n v="136"/>
    <x v="1"/>
    <x v="0"/>
    <n v="3"/>
    <s v="Life Sciences"/>
    <n v="1"/>
    <n v="1954"/>
    <n v="1"/>
    <s v="Male"/>
    <n v="89"/>
    <n v="3"/>
    <n v="2"/>
    <x v="4"/>
    <x v="3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  <x v="2"/>
    <x v="0"/>
    <x v="2"/>
  </r>
  <r>
    <n v="32"/>
    <x v="1"/>
    <s v="Non-Travel"/>
    <n v="1146"/>
    <x v="1"/>
    <x v="8"/>
    <n v="4"/>
    <s v="Medical"/>
    <n v="1"/>
    <n v="1955"/>
    <n v="3"/>
    <s v="Female"/>
    <n v="34"/>
    <n v="3"/>
    <n v="2"/>
    <x v="4"/>
    <x v="0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  <x v="2"/>
    <x v="0"/>
    <x v="2"/>
  </r>
  <r>
    <n v="31"/>
    <x v="1"/>
    <s v="Travel_Frequently"/>
    <n v="1125"/>
    <x v="1"/>
    <x v="0"/>
    <n v="3"/>
    <s v="Life Sciences"/>
    <n v="1"/>
    <n v="1956"/>
    <n v="4"/>
    <s v="Male"/>
    <n v="48"/>
    <n v="1"/>
    <n v="2"/>
    <x v="1"/>
    <x v="3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  <x v="2"/>
    <x v="0"/>
    <x v="0"/>
  </r>
  <r>
    <n v="28"/>
    <x v="0"/>
    <s v="Travel_Rarely"/>
    <n v="1404"/>
    <x v="1"/>
    <x v="27"/>
    <n v="3"/>
    <s v="Technical Degree"/>
    <n v="1"/>
    <n v="1960"/>
    <n v="3"/>
    <s v="Male"/>
    <n v="32"/>
    <n v="2"/>
    <n v="1"/>
    <x v="2"/>
    <x v="0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  <x v="2"/>
    <x v="1"/>
    <x v="2"/>
  </r>
  <r>
    <n v="38"/>
    <x v="1"/>
    <s v="Travel_Rarely"/>
    <n v="1404"/>
    <x v="0"/>
    <x v="0"/>
    <n v="3"/>
    <s v="Life Sciences"/>
    <n v="1"/>
    <n v="1961"/>
    <n v="1"/>
    <s v="Male"/>
    <n v="59"/>
    <n v="2"/>
    <n v="1"/>
    <x v="6"/>
    <x v="3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  <x v="0"/>
    <x v="1"/>
    <x v="1"/>
  </r>
  <r>
    <n v="35"/>
    <x v="1"/>
    <s v="Travel_Rarely"/>
    <n v="1224"/>
    <x v="0"/>
    <x v="15"/>
    <n v="4"/>
    <s v="Life Sciences"/>
    <n v="1"/>
    <n v="1962"/>
    <n v="3"/>
    <s v="Female"/>
    <n v="55"/>
    <n v="3"/>
    <n v="2"/>
    <x v="0"/>
    <x v="0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  <x v="2"/>
    <x v="0"/>
    <x v="0"/>
  </r>
  <r>
    <n v="27"/>
    <x v="1"/>
    <s v="Travel_Rarely"/>
    <n v="954"/>
    <x v="0"/>
    <x v="14"/>
    <n v="3"/>
    <s v="Marketing"/>
    <n v="1"/>
    <n v="1965"/>
    <n v="4"/>
    <s v="Male"/>
    <n v="44"/>
    <n v="3"/>
    <n v="2"/>
    <x v="0"/>
    <x v="0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  <x v="2"/>
    <x v="0"/>
    <x v="0"/>
  </r>
  <r>
    <n v="32"/>
    <x v="1"/>
    <s v="Travel_Rarely"/>
    <n v="1373"/>
    <x v="1"/>
    <x v="12"/>
    <n v="4"/>
    <s v="Life Sciences"/>
    <n v="1"/>
    <n v="1966"/>
    <n v="4"/>
    <s v="Male"/>
    <n v="56"/>
    <n v="2"/>
    <n v="2"/>
    <x v="3"/>
    <x v="0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  <x v="2"/>
    <x v="2"/>
    <x v="1"/>
  </r>
  <r>
    <n v="31"/>
    <x v="0"/>
    <s v="Travel_Frequently"/>
    <n v="754"/>
    <x v="0"/>
    <x v="9"/>
    <n v="4"/>
    <s v="Marketing"/>
    <n v="1"/>
    <n v="1967"/>
    <n v="1"/>
    <s v="Male"/>
    <n v="63"/>
    <n v="3"/>
    <n v="2"/>
    <x v="0"/>
    <x v="0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  <x v="2"/>
    <x v="0"/>
    <x v="0"/>
  </r>
  <r>
    <n v="53"/>
    <x v="0"/>
    <s v="Travel_Rarely"/>
    <n v="1168"/>
    <x v="0"/>
    <x v="4"/>
    <n v="4"/>
    <s v="Life Sciences"/>
    <n v="1"/>
    <n v="1968"/>
    <n v="1"/>
    <s v="Male"/>
    <n v="66"/>
    <n v="3"/>
    <n v="3"/>
    <x v="0"/>
    <x v="3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  <x v="1"/>
    <x v="2"/>
    <x v="1"/>
  </r>
  <r>
    <n v="54"/>
    <x v="1"/>
    <s v="Travel_Rarely"/>
    <n v="155"/>
    <x v="1"/>
    <x v="14"/>
    <n v="2"/>
    <s v="Life Sciences"/>
    <n v="1"/>
    <n v="1969"/>
    <n v="1"/>
    <s v="Female"/>
    <n v="67"/>
    <n v="3"/>
    <n v="2"/>
    <x v="1"/>
    <x v="2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  <x v="1"/>
    <x v="1"/>
    <x v="2"/>
  </r>
  <r>
    <n v="33"/>
    <x v="1"/>
    <s v="Travel_Frequently"/>
    <n v="1303"/>
    <x v="1"/>
    <x v="15"/>
    <n v="2"/>
    <s v="Life Sciences"/>
    <n v="1"/>
    <n v="1970"/>
    <n v="4"/>
    <s v="Male"/>
    <n v="36"/>
    <n v="3"/>
    <n v="2"/>
    <x v="4"/>
    <x v="2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  <x v="2"/>
    <x v="0"/>
    <x v="0"/>
  </r>
  <r>
    <n v="43"/>
    <x v="1"/>
    <s v="Travel_Rarely"/>
    <n v="574"/>
    <x v="1"/>
    <x v="13"/>
    <n v="3"/>
    <s v="Life Sciences"/>
    <n v="1"/>
    <n v="1971"/>
    <n v="1"/>
    <s v="Male"/>
    <n v="30"/>
    <n v="3"/>
    <n v="3"/>
    <x v="4"/>
    <x v="2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  <x v="0"/>
    <x v="2"/>
    <x v="0"/>
  </r>
  <r>
    <n v="38"/>
    <x v="1"/>
    <s v="Travel_Frequently"/>
    <n v="1444"/>
    <x v="2"/>
    <x v="0"/>
    <n v="4"/>
    <s v="Other"/>
    <n v="1"/>
    <n v="1972"/>
    <n v="4"/>
    <s v="Male"/>
    <n v="88"/>
    <n v="3"/>
    <n v="1"/>
    <x v="8"/>
    <x v="1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  <x v="0"/>
    <x v="1"/>
    <x v="0"/>
  </r>
  <r>
    <n v="55"/>
    <x v="1"/>
    <s v="Travel_Rarely"/>
    <n v="189"/>
    <x v="2"/>
    <x v="9"/>
    <n v="4"/>
    <s v="Human Resources"/>
    <n v="1"/>
    <n v="1973"/>
    <n v="3"/>
    <s v="Male"/>
    <n v="71"/>
    <n v="4"/>
    <n v="5"/>
    <x v="5"/>
    <x v="1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  <x v="1"/>
    <x v="2"/>
    <x v="0"/>
  </r>
  <r>
    <n v="31"/>
    <x v="1"/>
    <s v="Travel_Rarely"/>
    <n v="1276"/>
    <x v="1"/>
    <x v="2"/>
    <n v="1"/>
    <s v="Medical"/>
    <n v="1"/>
    <n v="1974"/>
    <n v="4"/>
    <s v="Female"/>
    <n v="59"/>
    <n v="1"/>
    <n v="1"/>
    <x v="2"/>
    <x v="0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  <x v="2"/>
    <x v="1"/>
    <x v="1"/>
  </r>
  <r>
    <n v="39"/>
    <x v="1"/>
    <s v="Travel_Rarely"/>
    <n v="119"/>
    <x v="0"/>
    <x v="8"/>
    <n v="4"/>
    <s v="Marketing"/>
    <n v="1"/>
    <n v="1975"/>
    <n v="2"/>
    <s v="Male"/>
    <n v="77"/>
    <n v="3"/>
    <n v="4"/>
    <x v="0"/>
    <x v="3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  <x v="0"/>
    <x v="2"/>
    <x v="3"/>
  </r>
  <r>
    <n v="42"/>
    <x v="1"/>
    <s v="Non-Travel"/>
    <n v="335"/>
    <x v="1"/>
    <x v="5"/>
    <n v="2"/>
    <s v="Life Sciences"/>
    <n v="1"/>
    <n v="1976"/>
    <n v="4"/>
    <s v="Male"/>
    <n v="37"/>
    <n v="2"/>
    <n v="2"/>
    <x v="1"/>
    <x v="2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  <x v="0"/>
    <x v="0"/>
    <x v="3"/>
  </r>
  <r>
    <n v="31"/>
    <x v="1"/>
    <s v="Non-Travel"/>
    <n v="697"/>
    <x v="1"/>
    <x v="17"/>
    <n v="3"/>
    <s v="Medical"/>
    <n v="1"/>
    <n v="1979"/>
    <n v="3"/>
    <s v="Female"/>
    <n v="40"/>
    <n v="3"/>
    <n v="3"/>
    <x v="7"/>
    <x v="2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  <x v="2"/>
    <x v="2"/>
    <x v="3"/>
  </r>
  <r>
    <n v="54"/>
    <x v="1"/>
    <s v="Travel_Rarely"/>
    <n v="157"/>
    <x v="1"/>
    <x v="17"/>
    <n v="3"/>
    <s v="Medical"/>
    <n v="1"/>
    <n v="1980"/>
    <n v="3"/>
    <s v="Female"/>
    <n v="77"/>
    <n v="3"/>
    <n v="2"/>
    <x v="3"/>
    <x v="3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  <x v="1"/>
    <x v="0"/>
    <x v="2"/>
  </r>
  <r>
    <n v="24"/>
    <x v="1"/>
    <s v="Travel_Rarely"/>
    <n v="771"/>
    <x v="1"/>
    <x v="0"/>
    <n v="2"/>
    <s v="Life Sciences"/>
    <n v="1"/>
    <n v="1981"/>
    <n v="2"/>
    <s v="Male"/>
    <n v="45"/>
    <n v="2"/>
    <n v="2"/>
    <x v="4"/>
    <x v="2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  <x v="3"/>
    <x v="0"/>
    <x v="2"/>
  </r>
  <r>
    <n v="23"/>
    <x v="1"/>
    <s v="Travel_Rarely"/>
    <n v="571"/>
    <x v="1"/>
    <x v="20"/>
    <n v="2"/>
    <s v="Other"/>
    <n v="1"/>
    <n v="1982"/>
    <n v="4"/>
    <s v="Male"/>
    <n v="78"/>
    <n v="3"/>
    <n v="1"/>
    <x v="2"/>
    <x v="0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  <x v="3"/>
    <x v="1"/>
    <x v="2"/>
  </r>
  <r>
    <n v="40"/>
    <x v="1"/>
    <s v="Travel_Frequently"/>
    <n v="692"/>
    <x v="1"/>
    <x v="13"/>
    <n v="3"/>
    <s v="Technical Degree"/>
    <n v="1"/>
    <n v="1985"/>
    <n v="4"/>
    <s v="Female"/>
    <n v="73"/>
    <n v="3"/>
    <n v="2"/>
    <x v="2"/>
    <x v="2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  <x v="0"/>
    <x v="0"/>
    <x v="0"/>
  </r>
  <r>
    <n v="40"/>
    <x v="1"/>
    <s v="Travel_Rarely"/>
    <n v="444"/>
    <x v="0"/>
    <x v="2"/>
    <n v="2"/>
    <s v="Marketing"/>
    <n v="1"/>
    <n v="1986"/>
    <n v="2"/>
    <s v="Female"/>
    <n v="92"/>
    <n v="3"/>
    <n v="2"/>
    <x v="0"/>
    <x v="1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  <x v="0"/>
    <x v="0"/>
    <x v="3"/>
  </r>
  <r>
    <n v="25"/>
    <x v="1"/>
    <s v="Travel_Rarely"/>
    <n v="309"/>
    <x v="2"/>
    <x v="2"/>
    <n v="3"/>
    <s v="Human Resources"/>
    <n v="1"/>
    <n v="1987"/>
    <n v="3"/>
    <s v="Female"/>
    <n v="82"/>
    <n v="3"/>
    <n v="1"/>
    <x v="8"/>
    <x v="1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  <x v="3"/>
    <x v="1"/>
    <x v="1"/>
  </r>
  <r>
    <n v="30"/>
    <x v="1"/>
    <s v="Travel_Rarely"/>
    <n v="911"/>
    <x v="1"/>
    <x v="0"/>
    <n v="2"/>
    <s v="Medical"/>
    <n v="1"/>
    <n v="1989"/>
    <n v="4"/>
    <s v="Male"/>
    <n v="76"/>
    <n v="3"/>
    <n v="1"/>
    <x v="2"/>
    <x v="1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  <x v="2"/>
    <x v="0"/>
    <x v="3"/>
  </r>
  <r>
    <n v="25"/>
    <x v="1"/>
    <s v="Travel_Rarely"/>
    <n v="977"/>
    <x v="1"/>
    <x v="2"/>
    <n v="1"/>
    <s v="Other"/>
    <n v="1"/>
    <n v="1992"/>
    <n v="4"/>
    <s v="Male"/>
    <n v="57"/>
    <n v="3"/>
    <n v="1"/>
    <x v="2"/>
    <x v="2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  <x v="3"/>
    <x v="0"/>
    <x v="1"/>
  </r>
  <r>
    <n v="47"/>
    <x v="1"/>
    <s v="Travel_Rarely"/>
    <n v="1180"/>
    <x v="1"/>
    <x v="19"/>
    <n v="3"/>
    <s v="Medical"/>
    <n v="1"/>
    <n v="1993"/>
    <n v="1"/>
    <s v="Male"/>
    <n v="84"/>
    <n v="3"/>
    <n v="3"/>
    <x v="4"/>
    <x v="2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  <x v="1"/>
    <x v="2"/>
    <x v="3"/>
  </r>
  <r>
    <n v="33"/>
    <x v="1"/>
    <s v="Non-Travel"/>
    <n v="1313"/>
    <x v="1"/>
    <x v="0"/>
    <n v="2"/>
    <s v="Medical"/>
    <n v="1"/>
    <n v="1994"/>
    <n v="2"/>
    <s v="Male"/>
    <n v="59"/>
    <n v="2"/>
    <n v="1"/>
    <x v="2"/>
    <x v="2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  <x v="2"/>
    <x v="1"/>
    <x v="1"/>
  </r>
  <r>
    <n v="38"/>
    <x v="1"/>
    <s v="Travel_Rarely"/>
    <n v="1321"/>
    <x v="0"/>
    <x v="0"/>
    <n v="4"/>
    <s v="Life Sciences"/>
    <n v="1"/>
    <n v="1995"/>
    <n v="4"/>
    <s v="Male"/>
    <n v="86"/>
    <n v="3"/>
    <n v="2"/>
    <x v="0"/>
    <x v="1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  <x v="0"/>
    <x v="0"/>
    <x v="3"/>
  </r>
  <r>
    <n v="31"/>
    <x v="1"/>
    <s v="Travel_Rarely"/>
    <n v="1154"/>
    <x v="0"/>
    <x v="2"/>
    <n v="2"/>
    <s v="Life Sciences"/>
    <n v="1"/>
    <n v="1996"/>
    <n v="1"/>
    <s v="Male"/>
    <n v="54"/>
    <n v="3"/>
    <n v="1"/>
    <x v="6"/>
    <x v="2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  <x v="2"/>
    <x v="0"/>
    <x v="1"/>
  </r>
  <r>
    <n v="38"/>
    <x v="1"/>
    <s v="Travel_Frequently"/>
    <n v="508"/>
    <x v="1"/>
    <x v="16"/>
    <n v="4"/>
    <s v="Life Sciences"/>
    <n v="1"/>
    <n v="1997"/>
    <n v="1"/>
    <s v="Male"/>
    <n v="72"/>
    <n v="2"/>
    <n v="2"/>
    <x v="3"/>
    <x v="2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  <x v="0"/>
    <x v="0"/>
    <x v="0"/>
  </r>
  <r>
    <n v="42"/>
    <x v="1"/>
    <s v="Travel_Rarely"/>
    <n v="557"/>
    <x v="1"/>
    <x v="21"/>
    <n v="4"/>
    <s v="Life Sciences"/>
    <n v="1"/>
    <n v="1998"/>
    <n v="4"/>
    <s v="Male"/>
    <n v="35"/>
    <n v="3"/>
    <n v="2"/>
    <x v="1"/>
    <x v="3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  <x v="0"/>
    <x v="0"/>
    <x v="2"/>
  </r>
  <r>
    <n v="41"/>
    <x v="1"/>
    <s v="Travel_Rarely"/>
    <n v="642"/>
    <x v="1"/>
    <x v="0"/>
    <n v="3"/>
    <s v="Life Sciences"/>
    <n v="1"/>
    <n v="1999"/>
    <n v="4"/>
    <s v="Male"/>
    <n v="76"/>
    <n v="3"/>
    <n v="1"/>
    <x v="1"/>
    <x v="0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  <x v="0"/>
    <x v="1"/>
    <x v="2"/>
  </r>
  <r>
    <n v="47"/>
    <x v="1"/>
    <s v="Non-Travel"/>
    <n v="1162"/>
    <x v="1"/>
    <x v="0"/>
    <n v="1"/>
    <s v="Medical"/>
    <n v="1"/>
    <n v="2000"/>
    <n v="3"/>
    <s v="Female"/>
    <n v="98"/>
    <n v="3"/>
    <n v="3"/>
    <x v="7"/>
    <x v="1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  <x v="1"/>
    <x v="2"/>
    <x v="3"/>
  </r>
  <r>
    <n v="35"/>
    <x v="1"/>
    <s v="Travel_Rarely"/>
    <n v="1490"/>
    <x v="1"/>
    <x v="13"/>
    <n v="4"/>
    <s v="Medical"/>
    <n v="1"/>
    <n v="2003"/>
    <n v="4"/>
    <s v="Male"/>
    <n v="43"/>
    <n v="3"/>
    <n v="1"/>
    <x v="2"/>
    <x v="2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  <x v="2"/>
    <x v="1"/>
    <x v="1"/>
  </r>
  <r>
    <n v="22"/>
    <x v="1"/>
    <s v="Travel_Rarely"/>
    <n v="581"/>
    <x v="1"/>
    <x v="0"/>
    <n v="2"/>
    <s v="Life Sciences"/>
    <n v="1"/>
    <n v="2007"/>
    <n v="4"/>
    <s v="Male"/>
    <n v="63"/>
    <n v="3"/>
    <n v="1"/>
    <x v="1"/>
    <x v="2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  <x v="3"/>
    <x v="0"/>
    <x v="2"/>
  </r>
  <r>
    <n v="35"/>
    <x v="1"/>
    <s v="Travel_Rarely"/>
    <n v="1395"/>
    <x v="1"/>
    <x v="14"/>
    <n v="4"/>
    <s v="Medical"/>
    <n v="1"/>
    <n v="2008"/>
    <n v="2"/>
    <s v="Male"/>
    <n v="48"/>
    <n v="3"/>
    <n v="2"/>
    <x v="1"/>
    <x v="2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  <x v="2"/>
    <x v="0"/>
    <x v="0"/>
  </r>
  <r>
    <n v="33"/>
    <x v="1"/>
    <s v="Travel_Rarely"/>
    <n v="501"/>
    <x v="1"/>
    <x v="8"/>
    <n v="2"/>
    <s v="Medical"/>
    <n v="1"/>
    <n v="2009"/>
    <n v="2"/>
    <s v="Female"/>
    <n v="95"/>
    <n v="3"/>
    <n v="2"/>
    <x v="4"/>
    <x v="0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  <x v="2"/>
    <x v="0"/>
    <x v="0"/>
  </r>
  <r>
    <n v="32"/>
    <x v="1"/>
    <s v="Travel_Rarely"/>
    <n v="267"/>
    <x v="1"/>
    <x v="22"/>
    <n v="4"/>
    <s v="Life Sciences"/>
    <n v="1"/>
    <n v="2010"/>
    <n v="3"/>
    <s v="Female"/>
    <n v="49"/>
    <n v="2"/>
    <n v="1"/>
    <x v="2"/>
    <x v="1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  <x v="2"/>
    <x v="1"/>
    <x v="0"/>
  </r>
  <r>
    <n v="40"/>
    <x v="1"/>
    <s v="Travel_Rarely"/>
    <n v="543"/>
    <x v="1"/>
    <x v="0"/>
    <n v="4"/>
    <s v="Life Sciences"/>
    <n v="1"/>
    <n v="2012"/>
    <n v="1"/>
    <s v="Male"/>
    <n v="83"/>
    <n v="3"/>
    <n v="1"/>
    <x v="2"/>
    <x v="0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  <x v="0"/>
    <x v="1"/>
    <x v="1"/>
  </r>
  <r>
    <n v="32"/>
    <x v="1"/>
    <s v="Travel_Rarely"/>
    <n v="234"/>
    <x v="0"/>
    <x v="0"/>
    <n v="4"/>
    <s v="Medical"/>
    <n v="1"/>
    <n v="2013"/>
    <n v="2"/>
    <s v="Male"/>
    <n v="68"/>
    <n v="2"/>
    <n v="1"/>
    <x v="6"/>
    <x v="1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  <x v="2"/>
    <x v="1"/>
    <x v="1"/>
  </r>
  <r>
    <n v="39"/>
    <x v="1"/>
    <s v="Travel_Rarely"/>
    <n v="116"/>
    <x v="1"/>
    <x v="4"/>
    <n v="1"/>
    <s v="Life Sciences"/>
    <n v="1"/>
    <n v="2014"/>
    <n v="1"/>
    <s v="Male"/>
    <n v="52"/>
    <n v="3"/>
    <n v="2"/>
    <x v="1"/>
    <x v="0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  <x v="0"/>
    <x v="0"/>
    <x v="0"/>
  </r>
  <r>
    <n v="38"/>
    <x v="1"/>
    <s v="Travel_Rarely"/>
    <n v="201"/>
    <x v="1"/>
    <x v="17"/>
    <n v="3"/>
    <s v="Medical"/>
    <n v="1"/>
    <n v="2015"/>
    <n v="2"/>
    <s v="Female"/>
    <n v="99"/>
    <n v="1"/>
    <n v="3"/>
    <x v="7"/>
    <x v="2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  <x v="0"/>
    <x v="2"/>
    <x v="3"/>
  </r>
  <r>
    <n v="32"/>
    <x v="1"/>
    <s v="Travel_Rarely"/>
    <n v="801"/>
    <x v="0"/>
    <x v="0"/>
    <n v="4"/>
    <s v="Marketing"/>
    <n v="1"/>
    <n v="2016"/>
    <n v="3"/>
    <s v="Female"/>
    <n v="48"/>
    <n v="3"/>
    <n v="3"/>
    <x v="0"/>
    <x v="0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  <x v="2"/>
    <x v="2"/>
    <x v="3"/>
  </r>
  <r>
    <n v="37"/>
    <x v="1"/>
    <s v="Travel_Rarely"/>
    <n v="161"/>
    <x v="1"/>
    <x v="17"/>
    <n v="3"/>
    <s v="Life Sciences"/>
    <n v="1"/>
    <n v="2017"/>
    <n v="3"/>
    <s v="Female"/>
    <n v="42"/>
    <n v="4"/>
    <n v="3"/>
    <x v="7"/>
    <x v="0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  <x v="0"/>
    <x v="2"/>
    <x v="3"/>
  </r>
  <r>
    <n v="25"/>
    <x v="1"/>
    <s v="Travel_Rarely"/>
    <n v="1382"/>
    <x v="0"/>
    <x v="1"/>
    <n v="2"/>
    <s v="Other"/>
    <n v="1"/>
    <n v="2018"/>
    <n v="1"/>
    <s v="Female"/>
    <n v="85"/>
    <n v="3"/>
    <n v="2"/>
    <x v="0"/>
    <x v="2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  <x v="3"/>
    <x v="0"/>
    <x v="2"/>
  </r>
  <r>
    <n v="52"/>
    <x v="1"/>
    <s v="Non-Travel"/>
    <n v="585"/>
    <x v="0"/>
    <x v="22"/>
    <n v="4"/>
    <s v="Life Sciences"/>
    <n v="1"/>
    <n v="2019"/>
    <n v="1"/>
    <s v="Male"/>
    <n v="40"/>
    <n v="3"/>
    <n v="1"/>
    <x v="6"/>
    <x v="0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  <x v="1"/>
    <x v="0"/>
    <x v="0"/>
  </r>
  <r>
    <n v="44"/>
    <x v="1"/>
    <s v="Travel_Rarely"/>
    <n v="1037"/>
    <x v="1"/>
    <x v="0"/>
    <n v="3"/>
    <s v="Medical"/>
    <n v="1"/>
    <n v="2020"/>
    <n v="2"/>
    <s v="Male"/>
    <n v="42"/>
    <n v="3"/>
    <n v="1"/>
    <x v="1"/>
    <x v="0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  <x v="0"/>
    <x v="1"/>
    <x v="2"/>
  </r>
  <r>
    <n v="21"/>
    <x v="1"/>
    <s v="Travel_Rarely"/>
    <n v="501"/>
    <x v="0"/>
    <x v="12"/>
    <n v="1"/>
    <s v="Medical"/>
    <n v="1"/>
    <n v="2021"/>
    <n v="3"/>
    <s v="Male"/>
    <n v="58"/>
    <n v="3"/>
    <n v="1"/>
    <x v="6"/>
    <x v="3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  <x v="3"/>
    <x v="1"/>
    <x v="1"/>
  </r>
  <r>
    <n v="39"/>
    <x v="1"/>
    <s v="Non-Travel"/>
    <n v="105"/>
    <x v="1"/>
    <x v="14"/>
    <n v="3"/>
    <s v="Life Sciences"/>
    <n v="1"/>
    <n v="2022"/>
    <n v="4"/>
    <s v="Male"/>
    <n v="87"/>
    <n v="3"/>
    <n v="5"/>
    <x v="5"/>
    <x v="0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  <x v="0"/>
    <x v="2"/>
    <x v="0"/>
  </r>
  <r>
    <n v="23"/>
    <x v="0"/>
    <s v="Travel_Frequently"/>
    <n v="638"/>
    <x v="0"/>
    <x v="14"/>
    <n v="3"/>
    <s v="Marketing"/>
    <n v="1"/>
    <n v="2023"/>
    <n v="4"/>
    <s v="Male"/>
    <n v="33"/>
    <n v="3"/>
    <n v="1"/>
    <x v="6"/>
    <x v="3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  <x v="3"/>
    <x v="1"/>
    <x v="1"/>
  </r>
  <r>
    <n v="36"/>
    <x v="1"/>
    <s v="Travel_Rarely"/>
    <n v="557"/>
    <x v="0"/>
    <x v="3"/>
    <n v="3"/>
    <s v="Medical"/>
    <n v="1"/>
    <n v="2024"/>
    <n v="1"/>
    <s v="Female"/>
    <n v="94"/>
    <n v="2"/>
    <n v="3"/>
    <x v="0"/>
    <x v="0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  <x v="0"/>
    <x v="2"/>
    <x v="0"/>
  </r>
  <r>
    <n v="36"/>
    <x v="1"/>
    <s v="Travel_Frequently"/>
    <n v="688"/>
    <x v="1"/>
    <x v="18"/>
    <n v="2"/>
    <s v="Life Sciences"/>
    <n v="1"/>
    <n v="2025"/>
    <n v="4"/>
    <s v="Female"/>
    <n v="97"/>
    <n v="3"/>
    <n v="2"/>
    <x v="3"/>
    <x v="1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  <x v="0"/>
    <x v="0"/>
    <x v="2"/>
  </r>
  <r>
    <n v="56"/>
    <x v="1"/>
    <s v="Non-Travel"/>
    <n v="667"/>
    <x v="1"/>
    <x v="0"/>
    <n v="4"/>
    <s v="Life Sciences"/>
    <n v="1"/>
    <n v="2026"/>
    <n v="3"/>
    <s v="Male"/>
    <n v="57"/>
    <n v="3"/>
    <n v="2"/>
    <x v="4"/>
    <x v="2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  <x v="1"/>
    <x v="0"/>
    <x v="3"/>
  </r>
  <r>
    <n v="29"/>
    <x v="0"/>
    <s v="Travel_Rarely"/>
    <n v="1092"/>
    <x v="1"/>
    <x v="0"/>
    <n v="4"/>
    <s v="Medical"/>
    <n v="1"/>
    <n v="2027"/>
    <n v="1"/>
    <s v="Male"/>
    <n v="36"/>
    <n v="3"/>
    <n v="1"/>
    <x v="1"/>
    <x v="0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  <x v="2"/>
    <x v="0"/>
    <x v="1"/>
  </r>
  <r>
    <n v="42"/>
    <x v="1"/>
    <s v="Travel_Rarely"/>
    <n v="300"/>
    <x v="1"/>
    <x v="2"/>
    <n v="3"/>
    <s v="Life Sciences"/>
    <n v="1"/>
    <n v="2031"/>
    <n v="1"/>
    <s v="Male"/>
    <n v="56"/>
    <n v="3"/>
    <n v="5"/>
    <x v="5"/>
    <x v="2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  <x v="0"/>
    <x v="2"/>
    <x v="3"/>
  </r>
  <r>
    <n v="56"/>
    <x v="0"/>
    <s v="Travel_Rarely"/>
    <n v="310"/>
    <x v="1"/>
    <x v="15"/>
    <n v="2"/>
    <s v="Technical Degree"/>
    <n v="1"/>
    <n v="2032"/>
    <n v="4"/>
    <s v="Male"/>
    <n v="72"/>
    <n v="3"/>
    <n v="1"/>
    <x v="2"/>
    <x v="2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  <x v="1"/>
    <x v="1"/>
    <x v="0"/>
  </r>
  <r>
    <n v="41"/>
    <x v="1"/>
    <s v="Travel_Rarely"/>
    <n v="582"/>
    <x v="1"/>
    <x v="26"/>
    <n v="4"/>
    <s v="Life Sciences"/>
    <n v="1"/>
    <n v="2034"/>
    <n v="1"/>
    <s v="Female"/>
    <n v="60"/>
    <n v="2"/>
    <n v="4"/>
    <x v="3"/>
    <x v="1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  <x v="0"/>
    <x v="2"/>
    <x v="3"/>
  </r>
  <r>
    <n v="34"/>
    <x v="1"/>
    <s v="Travel_Rarely"/>
    <n v="704"/>
    <x v="0"/>
    <x v="26"/>
    <n v="3"/>
    <s v="Marketing"/>
    <n v="1"/>
    <n v="2035"/>
    <n v="4"/>
    <s v="Female"/>
    <n v="95"/>
    <n v="2"/>
    <n v="2"/>
    <x v="0"/>
    <x v="2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  <x v="2"/>
    <x v="0"/>
    <x v="0"/>
  </r>
  <r>
    <n v="36"/>
    <x v="1"/>
    <s v="Non-Travel"/>
    <n v="301"/>
    <x v="0"/>
    <x v="8"/>
    <n v="4"/>
    <s v="Marketing"/>
    <n v="1"/>
    <n v="2036"/>
    <n v="4"/>
    <s v="Male"/>
    <n v="88"/>
    <n v="1"/>
    <n v="2"/>
    <x v="0"/>
    <x v="0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  <x v="0"/>
    <x v="0"/>
    <x v="3"/>
  </r>
  <r>
    <n v="41"/>
    <x v="1"/>
    <s v="Travel_Rarely"/>
    <n v="930"/>
    <x v="0"/>
    <x v="3"/>
    <n v="3"/>
    <s v="Life Sciences"/>
    <n v="1"/>
    <n v="2037"/>
    <n v="3"/>
    <s v="Male"/>
    <n v="57"/>
    <n v="2"/>
    <n v="2"/>
    <x v="0"/>
    <x v="1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  <x v="0"/>
    <x v="2"/>
    <x v="2"/>
  </r>
  <r>
    <n v="32"/>
    <x v="1"/>
    <s v="Travel_Rarely"/>
    <n v="529"/>
    <x v="1"/>
    <x v="2"/>
    <n v="3"/>
    <s v="Technical Degree"/>
    <n v="1"/>
    <n v="2038"/>
    <n v="4"/>
    <s v="Male"/>
    <n v="78"/>
    <n v="3"/>
    <n v="1"/>
    <x v="1"/>
    <x v="3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  <x v="2"/>
    <x v="1"/>
    <x v="2"/>
  </r>
  <r>
    <n v="35"/>
    <x v="1"/>
    <s v="Travel_Rarely"/>
    <n v="1146"/>
    <x v="2"/>
    <x v="9"/>
    <n v="4"/>
    <s v="Life Sciences"/>
    <n v="1"/>
    <n v="2040"/>
    <n v="3"/>
    <s v="Female"/>
    <n v="31"/>
    <n v="3"/>
    <n v="3"/>
    <x v="8"/>
    <x v="0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  <x v="2"/>
    <x v="2"/>
    <x v="0"/>
  </r>
  <r>
    <n v="38"/>
    <x v="1"/>
    <s v="Travel_Rarely"/>
    <n v="345"/>
    <x v="0"/>
    <x v="17"/>
    <n v="2"/>
    <s v="Life Sciences"/>
    <n v="1"/>
    <n v="2041"/>
    <n v="1"/>
    <s v="Female"/>
    <n v="100"/>
    <n v="3"/>
    <n v="2"/>
    <x v="0"/>
    <x v="0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  <x v="0"/>
    <x v="0"/>
    <x v="0"/>
  </r>
  <r>
    <n v="50"/>
    <x v="0"/>
    <s v="Travel_Frequently"/>
    <n v="878"/>
    <x v="0"/>
    <x v="0"/>
    <n v="4"/>
    <s v="Life Sciences"/>
    <n v="1"/>
    <n v="2044"/>
    <n v="2"/>
    <s v="Male"/>
    <n v="94"/>
    <n v="3"/>
    <n v="2"/>
    <x v="0"/>
    <x v="2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  <x v="1"/>
    <x v="0"/>
    <x v="0"/>
  </r>
  <r>
    <n v="36"/>
    <x v="1"/>
    <s v="Travel_Rarely"/>
    <n v="1120"/>
    <x v="0"/>
    <x v="13"/>
    <n v="4"/>
    <s v="Marketing"/>
    <n v="1"/>
    <n v="2045"/>
    <n v="2"/>
    <s v="Female"/>
    <n v="100"/>
    <n v="2"/>
    <n v="2"/>
    <x v="0"/>
    <x v="0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  <x v="0"/>
    <x v="0"/>
    <x v="0"/>
  </r>
  <r>
    <n v="45"/>
    <x v="1"/>
    <s v="Travel_Rarely"/>
    <n v="374"/>
    <x v="0"/>
    <x v="25"/>
    <n v="3"/>
    <s v="Life Sciences"/>
    <n v="1"/>
    <n v="2046"/>
    <n v="4"/>
    <s v="Female"/>
    <n v="50"/>
    <n v="3"/>
    <n v="2"/>
    <x v="0"/>
    <x v="2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  <x v="0"/>
    <x v="0"/>
    <x v="2"/>
  </r>
  <r>
    <n v="40"/>
    <x v="1"/>
    <s v="Travel_Rarely"/>
    <n v="1322"/>
    <x v="1"/>
    <x v="2"/>
    <n v="4"/>
    <s v="Life Sciences"/>
    <n v="1"/>
    <n v="2048"/>
    <n v="3"/>
    <s v="Male"/>
    <n v="52"/>
    <n v="2"/>
    <n v="1"/>
    <x v="1"/>
    <x v="2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  <x v="0"/>
    <x v="1"/>
    <x v="1"/>
  </r>
  <r>
    <n v="35"/>
    <x v="1"/>
    <s v="Travel_Frequently"/>
    <n v="1199"/>
    <x v="1"/>
    <x v="21"/>
    <n v="4"/>
    <s v="Life Sciences"/>
    <n v="1"/>
    <n v="2049"/>
    <n v="3"/>
    <s v="Male"/>
    <n v="80"/>
    <n v="3"/>
    <n v="2"/>
    <x v="4"/>
    <x v="2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  <x v="2"/>
    <x v="0"/>
    <x v="0"/>
  </r>
  <r>
    <n v="40"/>
    <x v="1"/>
    <s v="Travel_Rarely"/>
    <n v="1194"/>
    <x v="1"/>
    <x v="2"/>
    <n v="4"/>
    <s v="Medical"/>
    <n v="1"/>
    <n v="2051"/>
    <n v="3"/>
    <s v="Female"/>
    <n v="98"/>
    <n v="3"/>
    <n v="1"/>
    <x v="1"/>
    <x v="2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  <x v="0"/>
    <x v="1"/>
    <x v="2"/>
  </r>
  <r>
    <n v="35"/>
    <x v="1"/>
    <s v="Travel_Rarely"/>
    <n v="287"/>
    <x v="1"/>
    <x v="0"/>
    <n v="4"/>
    <s v="Life Sciences"/>
    <n v="1"/>
    <n v="2052"/>
    <n v="3"/>
    <s v="Female"/>
    <n v="62"/>
    <n v="1"/>
    <n v="1"/>
    <x v="1"/>
    <x v="0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  <x v="2"/>
    <x v="1"/>
    <x v="2"/>
  </r>
  <r>
    <n v="29"/>
    <x v="1"/>
    <s v="Travel_Rarely"/>
    <n v="1378"/>
    <x v="1"/>
    <x v="28"/>
    <n v="2"/>
    <s v="Other"/>
    <n v="1"/>
    <n v="2053"/>
    <n v="4"/>
    <s v="Male"/>
    <n v="46"/>
    <n v="2"/>
    <n v="2"/>
    <x v="2"/>
    <x v="1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  <x v="2"/>
    <x v="0"/>
    <x v="2"/>
  </r>
  <r>
    <n v="29"/>
    <x v="1"/>
    <s v="Travel_Rarely"/>
    <n v="468"/>
    <x v="1"/>
    <x v="26"/>
    <n v="4"/>
    <s v="Medical"/>
    <n v="1"/>
    <n v="2054"/>
    <n v="4"/>
    <s v="Female"/>
    <n v="73"/>
    <n v="2"/>
    <n v="1"/>
    <x v="1"/>
    <x v="3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  <x v="2"/>
    <x v="0"/>
    <x v="2"/>
  </r>
  <r>
    <n v="50"/>
    <x v="0"/>
    <s v="Travel_Rarely"/>
    <n v="410"/>
    <x v="0"/>
    <x v="26"/>
    <n v="3"/>
    <s v="Marketing"/>
    <n v="1"/>
    <n v="2055"/>
    <n v="4"/>
    <s v="Male"/>
    <n v="39"/>
    <n v="2"/>
    <n v="3"/>
    <x v="0"/>
    <x v="3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  <x v="1"/>
    <x v="2"/>
    <x v="2"/>
  </r>
  <r>
    <n v="39"/>
    <x v="1"/>
    <s v="Travel_Rarely"/>
    <n v="722"/>
    <x v="0"/>
    <x v="4"/>
    <n v="1"/>
    <s v="Marketing"/>
    <n v="1"/>
    <n v="2056"/>
    <n v="2"/>
    <s v="Female"/>
    <n v="60"/>
    <n v="2"/>
    <n v="4"/>
    <x v="0"/>
    <x v="0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  <x v="0"/>
    <x v="2"/>
    <x v="3"/>
  </r>
  <r>
    <n v="31"/>
    <x v="1"/>
    <s v="Non-Travel"/>
    <n v="325"/>
    <x v="1"/>
    <x v="12"/>
    <n v="3"/>
    <s v="Medical"/>
    <n v="1"/>
    <n v="2057"/>
    <n v="2"/>
    <s v="Male"/>
    <n v="74"/>
    <n v="3"/>
    <n v="2"/>
    <x v="3"/>
    <x v="3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  <x v="2"/>
    <x v="2"/>
    <x v="0"/>
  </r>
  <r>
    <n v="26"/>
    <x v="1"/>
    <s v="Travel_Rarely"/>
    <n v="1167"/>
    <x v="0"/>
    <x v="12"/>
    <n v="3"/>
    <s v="Other"/>
    <n v="1"/>
    <n v="2060"/>
    <n v="4"/>
    <s v="Female"/>
    <n v="30"/>
    <n v="2"/>
    <n v="1"/>
    <x v="6"/>
    <x v="2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  <x v="2"/>
    <x v="1"/>
    <x v="2"/>
  </r>
  <r>
    <n v="36"/>
    <x v="1"/>
    <s v="Travel_Frequently"/>
    <n v="884"/>
    <x v="1"/>
    <x v="5"/>
    <n v="2"/>
    <s v="Medical"/>
    <n v="1"/>
    <n v="2061"/>
    <n v="3"/>
    <s v="Male"/>
    <n v="41"/>
    <n v="4"/>
    <n v="2"/>
    <x v="2"/>
    <x v="0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  <x v="0"/>
    <x v="1"/>
    <x v="2"/>
  </r>
  <r>
    <n v="39"/>
    <x v="1"/>
    <s v="Travel_Rarely"/>
    <n v="613"/>
    <x v="1"/>
    <x v="16"/>
    <n v="1"/>
    <s v="Medical"/>
    <n v="1"/>
    <n v="2062"/>
    <n v="4"/>
    <s v="Male"/>
    <n v="42"/>
    <n v="2"/>
    <n v="3"/>
    <x v="4"/>
    <x v="3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  <x v="0"/>
    <x v="2"/>
    <x v="0"/>
  </r>
  <r>
    <n v="27"/>
    <x v="1"/>
    <s v="Travel_Rarely"/>
    <n v="155"/>
    <x v="1"/>
    <x v="18"/>
    <n v="3"/>
    <s v="Life Sciences"/>
    <n v="1"/>
    <n v="2064"/>
    <n v="2"/>
    <s v="Male"/>
    <n v="87"/>
    <n v="4"/>
    <n v="2"/>
    <x v="3"/>
    <x v="1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  <x v="2"/>
    <x v="0"/>
    <x v="0"/>
  </r>
  <r>
    <n v="49"/>
    <x v="1"/>
    <s v="Travel_Frequently"/>
    <n v="1023"/>
    <x v="0"/>
    <x v="2"/>
    <n v="3"/>
    <s v="Medical"/>
    <n v="1"/>
    <n v="2065"/>
    <n v="4"/>
    <s v="Male"/>
    <n v="63"/>
    <n v="2"/>
    <n v="2"/>
    <x v="0"/>
    <x v="1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  <x v="1"/>
    <x v="0"/>
    <x v="0"/>
  </r>
  <r>
    <n v="34"/>
    <x v="1"/>
    <s v="Travel_Rarely"/>
    <n v="628"/>
    <x v="1"/>
    <x v="1"/>
    <n v="3"/>
    <s v="Medical"/>
    <n v="1"/>
    <n v="2068"/>
    <n v="2"/>
    <s v="Male"/>
    <n v="82"/>
    <n v="4"/>
    <n v="2"/>
    <x v="2"/>
    <x v="2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  <x v="2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B56867-E3A0-4050-80C8-FFC64E1B5A5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42:D48" firstHeaderRow="1" firstDataRow="2" firstDataCol="1"/>
  <pivotFields count="3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showDataAs="percentOfRow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B25C8D-1C56-4812-846A-CB6605CBB27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9:D40" firstHeaderRow="1" firstDataRow="2" firstDataCol="1"/>
  <pivotFields count="3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showDataAs="percentOfRow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4B7609-605A-4E6D-B4A7-0A7B6A6BAA4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2:D26" firstHeaderRow="1" firstDataRow="2" firstDataCol="1"/>
  <pivotFields count="3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showDataAs="percentOfRow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F6E685-691C-4082-9311-D562A2E872A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4:D100" firstHeaderRow="1" firstDataRow="2" firstDataCol="1"/>
  <pivotFields count="3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axis="axisRow" showAll="0">
      <items count="5">
        <item x="1"/>
        <item x="3"/>
        <item x="2"/>
        <item x="0"/>
        <item t="default"/>
      </items>
    </pivotField>
  </pivotFields>
  <rowFields count="1">
    <field x="37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29F6C8-0EF9-4DFF-829E-38A385B171F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6:D91" firstHeaderRow="1" firstDataRow="2" firstDataCol="1"/>
  <pivotFields count="3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36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A833A-9558-49B4-ACF4-E6C0BDA4654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1:D17" firstHeaderRow="1" firstDataRow="2" firstDataCol="1"/>
  <pivotFields count="3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1">
    <field x="35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showDataAs="percentOfRow" baseField="0" baseItem="0" numFmtId="10"/>
  </dataFields>
  <chartFormats count="6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DD8115-62B1-4F49-9F81-D07FB8BE023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2:D60" firstHeaderRow="1" firstDataRow="2" firstDataCol="1"/>
  <pivotFields count="3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1">
    <field x="5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E78FCE-7DDA-4849-B014-6434D8D2EA4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D8" firstHeaderRow="1" firstDataRow="2" firstDataCol="1"/>
  <pivotFields count="38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showDataAs="percentOfRow" baseField="0" baseItem="0" numFmtId="1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B1358A-34CA-4896-AACF-5EAEE76C6652}" name="Table1" displayName="Table1" ref="A1:AL1471" totalsRowShown="0">
  <autoFilter ref="A1:AL1471" xr:uid="{41B1358A-34CA-4896-AACF-5EAEE76C6652}"/>
  <tableColumns count="38">
    <tableColumn id="1" xr3:uid="{80B6ED13-7639-4B7C-9A36-0BEE173410BB}" name="Age"/>
    <tableColumn id="2" xr3:uid="{D9B310F8-1D0D-4DEF-BC93-47B5BF657A48}" name="Attrition"/>
    <tableColumn id="3" xr3:uid="{2E456B10-7AAD-4F5A-8EA7-64764EC693F7}" name="BusinessTravel"/>
    <tableColumn id="4" xr3:uid="{282A219E-C176-440A-8A2E-6CF24ACDD288}" name="DailyRate"/>
    <tableColumn id="5" xr3:uid="{6E9C81F8-0583-48BA-AAF2-2B4D40814763}" name="Department"/>
    <tableColumn id="6" xr3:uid="{CA08521F-6480-4379-A2D0-449A11D990DD}" name="DistanceFromHome"/>
    <tableColumn id="7" xr3:uid="{F7634E97-331B-4AD7-9BC3-6194F6E3E88F}" name="Education"/>
    <tableColumn id="8" xr3:uid="{AD91C656-EFA0-4A27-8E7A-850089201DD8}" name="EducationField"/>
    <tableColumn id="9" xr3:uid="{326D7F8F-D0FF-4AF8-A3E4-0BF418DD1A3C}" name="EmployeeCount"/>
    <tableColumn id="10" xr3:uid="{15AEDD57-665E-4FD6-BE0B-C107EF050499}" name="EmployeeNumber"/>
    <tableColumn id="11" xr3:uid="{CA0DD7F8-0C68-43E5-B5DE-B98642F9FB58}" name="EnvironmentSatisfaction"/>
    <tableColumn id="12" xr3:uid="{5CDD0B90-AB34-4334-8117-8B2816C3FAE8}" name="Gender"/>
    <tableColumn id="13" xr3:uid="{24320478-9110-4BC3-B72B-B23D96F46443}" name="HourlyRate"/>
    <tableColumn id="14" xr3:uid="{720F4621-154B-44B9-A3D0-D409876610FE}" name="JobInvolvement"/>
    <tableColumn id="15" xr3:uid="{3DFEF70F-39D9-42F4-97E6-1C5535F0CEF1}" name="JobLevel"/>
    <tableColumn id="16" xr3:uid="{278FAD94-FE2C-4B8D-9C2C-68C878337FEF}" name="JobRole"/>
    <tableColumn id="17" xr3:uid="{13F98AFE-5446-4E4A-87B6-8EB08DD6C1B3}" name="JobSatisfaction"/>
    <tableColumn id="18" xr3:uid="{9A037290-121A-42C6-B1D1-6BD8256DCF53}" name="MaritalStatus"/>
    <tableColumn id="19" xr3:uid="{DD93A0F1-076A-496E-9944-1BF9A1C11432}" name="MonthlyIncome"/>
    <tableColumn id="20" xr3:uid="{C9107492-983F-49B3-BA5B-8B690CFD6A4C}" name="MonthlyRate"/>
    <tableColumn id="21" xr3:uid="{9A65813E-162F-402D-8F7D-F3C4B5E6353B}" name="NumCompaniesWorked"/>
    <tableColumn id="22" xr3:uid="{FC071BB8-21C9-4AA9-A9AF-5A05264DAC88}" name="Over18"/>
    <tableColumn id="23" xr3:uid="{939DDB76-72BF-412C-BF4B-7AC20AAFDD83}" name="OverTime"/>
    <tableColumn id="24" xr3:uid="{06501BC6-FA22-4CE0-A0F8-2ADC1AA38D40}" name="PercentSalaryHike"/>
    <tableColumn id="25" xr3:uid="{A2B71491-BE5C-4368-8D08-FEF4B214F0F6}" name="PerformanceRating"/>
    <tableColumn id="26" xr3:uid="{A0F5C7A2-0246-4F22-9D37-5FA0B9850F94}" name="RelationshipSatisfaction"/>
    <tableColumn id="27" xr3:uid="{FC75A5AF-D7E8-4091-9119-C2F7C11B1091}" name="StandardHours"/>
    <tableColumn id="28" xr3:uid="{4AED5C70-9DB5-4439-B46B-D08AC8469D28}" name="StockOptionLevel"/>
    <tableColumn id="29" xr3:uid="{D949525C-FB11-444F-AF20-BE0E4F43D78E}" name="TotalWorkingYears"/>
    <tableColumn id="30" xr3:uid="{BE134DD6-3639-435B-A7C4-75BDE85EF33F}" name="TrainingTimesLastYear"/>
    <tableColumn id="31" xr3:uid="{F6B93B91-2B1B-4DCD-B63B-FA4DDAEE7E10}" name="WorkLifeBalance"/>
    <tableColumn id="32" xr3:uid="{74CE09E3-6547-4EBD-B194-1771B280F74E}" name="YearsAtCompany"/>
    <tableColumn id="33" xr3:uid="{C20EEE5D-3F70-4DC3-8E3A-C9B4EA1960D7}" name="YearsInCurrentRole"/>
    <tableColumn id="34" xr3:uid="{AC9CDFF3-EA6C-4C73-AD54-DF2E402786F8}" name="YearsSinceLastPromotion"/>
    <tableColumn id="35" xr3:uid="{49D64A3C-C5E4-4740-B0FF-2FFDC927EF1A}" name="YearsWithCurrManager"/>
    <tableColumn id="37" xr3:uid="{7E7BDA4F-3F44-4805-A1E9-6A315A6EA261}" name="Age Group" dataDxfId="2">
      <calculatedColumnFormula>IF(Table1[[#This Row],[Age]]&lt;=25,"Young",IF(Table1[[#This Row],[Age]]&lt;=35,"Early Career",IF(Table1[[#This Row],[Age]]&lt;=45,"Mid Career","Senior")))</calculatedColumnFormula>
    </tableColumn>
    <tableColumn id="38" xr3:uid="{D1953B17-62EA-4D0C-9806-46F5BBDDFA34}" name="Income Band" dataDxfId="1">
      <calculatedColumnFormula>IF(Table1[[#This Row],[MonthlyIncome]]&lt;3000,"Low",IF(Table1[[#This Row],[MonthlyIncome]]&lt;7000,"Medium","High"))</calculatedColumnFormula>
    </tableColumn>
    <tableColumn id="39" xr3:uid="{ED0F0AD1-2E19-4F88-BFA6-C123C18EBF81}" name="Tenure Band" dataDxfId="0">
      <calculatedColumnFormula>IF(Table1[[#This Row],[YearsAtCompany]]&lt;=2,"0–2 Years",IF(Table1[[#This Row],[YearsAtCompany]]&lt;=5,"3–5 Years",IF(Table1[[#This Row],[YearsAtCompany]]&lt;=10,"6–10 Years","11+ Years")))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CD09C-E25D-4F0C-8575-3DB3791398B0}">
  <dimension ref="A3:D100"/>
  <sheetViews>
    <sheetView tabSelected="1" topLeftCell="F1" zoomScale="90" zoomScaleNormal="90" workbookViewId="0">
      <selection activeCell="B5" sqref="B5"/>
    </sheetView>
  </sheetViews>
  <sheetFormatPr defaultRowHeight="14.5" x14ac:dyDescent="0.35"/>
  <cols>
    <col min="1" max="1" width="23.81640625" bestFit="1" customWidth="1"/>
    <col min="2" max="2" width="16.08984375" bestFit="1" customWidth="1"/>
    <col min="3" max="3" width="7" bestFit="1" customWidth="1"/>
    <col min="4" max="4" width="10.6328125" bestFit="1" customWidth="1"/>
  </cols>
  <sheetData>
    <row r="3" spans="1:4" x14ac:dyDescent="0.35">
      <c r="A3" s="2" t="s">
        <v>75</v>
      </c>
      <c r="B3" s="2" t="s">
        <v>70</v>
      </c>
    </row>
    <row r="4" spans="1:4" x14ac:dyDescent="0.35">
      <c r="A4" s="2" t="s">
        <v>68</v>
      </c>
      <c r="B4" t="s">
        <v>43</v>
      </c>
      <c r="C4" t="s">
        <v>35</v>
      </c>
      <c r="D4" t="s">
        <v>69</v>
      </c>
    </row>
    <row r="5" spans="1:4" x14ac:dyDescent="0.35">
      <c r="A5" s="3" t="s">
        <v>61</v>
      </c>
      <c r="B5" s="1">
        <v>0.80952380952380953</v>
      </c>
      <c r="C5" s="1">
        <v>0.19047619047619047</v>
      </c>
      <c r="D5" s="1">
        <v>1</v>
      </c>
    </row>
    <row r="6" spans="1:4" x14ac:dyDescent="0.35">
      <c r="A6" s="3" t="s">
        <v>45</v>
      </c>
      <c r="B6" s="1">
        <v>0.86160249739854322</v>
      </c>
      <c r="C6" s="1">
        <v>0.13839750260145681</v>
      </c>
      <c r="D6" s="1">
        <v>1</v>
      </c>
    </row>
    <row r="7" spans="1:4" x14ac:dyDescent="0.35">
      <c r="A7" s="3" t="s">
        <v>37</v>
      </c>
      <c r="B7" s="1">
        <v>0.79372197309417036</v>
      </c>
      <c r="C7" s="1">
        <v>0.20627802690582961</v>
      </c>
      <c r="D7" s="1">
        <v>1</v>
      </c>
    </row>
    <row r="8" spans="1:4" x14ac:dyDescent="0.35">
      <c r="A8" s="3" t="s">
        <v>69</v>
      </c>
      <c r="B8" s="1">
        <v>0.83877551020408159</v>
      </c>
      <c r="C8" s="1">
        <v>0.16122448979591836</v>
      </c>
      <c r="D8" s="1">
        <v>1</v>
      </c>
    </row>
    <row r="11" spans="1:4" x14ac:dyDescent="0.35">
      <c r="A11" s="2" t="s">
        <v>75</v>
      </c>
      <c r="B11" s="2" t="s">
        <v>70</v>
      </c>
    </row>
    <row r="12" spans="1:4" x14ac:dyDescent="0.35">
      <c r="A12" s="2" t="s">
        <v>68</v>
      </c>
      <c r="B12" t="s">
        <v>43</v>
      </c>
      <c r="C12" t="s">
        <v>35</v>
      </c>
      <c r="D12" t="s">
        <v>69</v>
      </c>
    </row>
    <row r="13" spans="1:4" x14ac:dyDescent="0.35">
      <c r="A13" s="3" t="s">
        <v>71</v>
      </c>
      <c r="B13" s="1">
        <v>0.8085808580858086</v>
      </c>
      <c r="C13" s="1">
        <v>0.19141914191419143</v>
      </c>
      <c r="D13" s="1">
        <v>1</v>
      </c>
    </row>
    <row r="14" spans="1:4" x14ac:dyDescent="0.35">
      <c r="A14" s="3" t="s">
        <v>72</v>
      </c>
      <c r="B14" s="1">
        <v>0.90811965811965811</v>
      </c>
      <c r="C14" s="1">
        <v>9.1880341880341887E-2</v>
      </c>
      <c r="D14" s="1">
        <v>1</v>
      </c>
    </row>
    <row r="15" spans="1:4" x14ac:dyDescent="0.35">
      <c r="A15" s="3" t="s">
        <v>73</v>
      </c>
      <c r="B15" s="1">
        <v>0.87545787545787546</v>
      </c>
      <c r="C15" s="1">
        <v>0.12454212454212454</v>
      </c>
      <c r="D15" s="1">
        <v>1</v>
      </c>
    </row>
    <row r="16" spans="1:4" x14ac:dyDescent="0.35">
      <c r="A16" s="3" t="s">
        <v>74</v>
      </c>
      <c r="B16" s="1">
        <v>0.64227642276422769</v>
      </c>
      <c r="C16" s="1">
        <v>0.35772357723577236</v>
      </c>
      <c r="D16" s="1">
        <v>1</v>
      </c>
    </row>
    <row r="17" spans="1:4" x14ac:dyDescent="0.35">
      <c r="A17" s="3" t="s">
        <v>69</v>
      </c>
      <c r="B17" s="1">
        <v>0.83877551020408159</v>
      </c>
      <c r="C17" s="1">
        <v>0.16122448979591836</v>
      </c>
      <c r="D17" s="1">
        <v>1</v>
      </c>
    </row>
    <row r="22" spans="1:4" x14ac:dyDescent="0.35">
      <c r="A22" s="2" t="s">
        <v>75</v>
      </c>
      <c r="B22" s="2" t="s">
        <v>70</v>
      </c>
    </row>
    <row r="23" spans="1:4" x14ac:dyDescent="0.35">
      <c r="A23" s="2" t="s">
        <v>68</v>
      </c>
      <c r="B23" t="s">
        <v>43</v>
      </c>
      <c r="C23" t="s">
        <v>35</v>
      </c>
      <c r="D23" t="s">
        <v>69</v>
      </c>
    </row>
    <row r="24" spans="1:4" x14ac:dyDescent="0.35">
      <c r="A24" s="3" t="s">
        <v>43</v>
      </c>
      <c r="B24" s="1">
        <v>0.89563567362428842</v>
      </c>
      <c r="C24" s="1">
        <v>0.10436432637571158</v>
      </c>
      <c r="D24" s="1">
        <v>1</v>
      </c>
    </row>
    <row r="25" spans="1:4" x14ac:dyDescent="0.35">
      <c r="A25" s="3" t="s">
        <v>35</v>
      </c>
      <c r="B25" s="1">
        <v>0.69471153846153844</v>
      </c>
      <c r="C25" s="1">
        <v>0.30528846153846156</v>
      </c>
      <c r="D25" s="1">
        <v>1</v>
      </c>
    </row>
    <row r="26" spans="1:4" x14ac:dyDescent="0.35">
      <c r="A26" s="3" t="s">
        <v>69</v>
      </c>
      <c r="B26" s="1">
        <v>0.83877551020408159</v>
      </c>
      <c r="C26" s="1">
        <v>0.16122448979591836</v>
      </c>
      <c r="D26" s="1">
        <v>1</v>
      </c>
    </row>
    <row r="29" spans="1:4" x14ac:dyDescent="0.35">
      <c r="A29" s="2" t="s">
        <v>75</v>
      </c>
      <c r="B29" s="2" t="s">
        <v>70</v>
      </c>
    </row>
    <row r="30" spans="1:4" x14ac:dyDescent="0.35">
      <c r="A30" s="2" t="s">
        <v>68</v>
      </c>
      <c r="B30" t="s">
        <v>43</v>
      </c>
      <c r="C30" t="s">
        <v>35</v>
      </c>
      <c r="D30" t="s">
        <v>69</v>
      </c>
    </row>
    <row r="31" spans="1:4" x14ac:dyDescent="0.35">
      <c r="A31" s="3" t="s">
        <v>54</v>
      </c>
      <c r="B31" s="1">
        <v>0.93129770992366412</v>
      </c>
      <c r="C31" s="1">
        <v>6.8702290076335881E-2</v>
      </c>
      <c r="D31" s="1">
        <v>1</v>
      </c>
    </row>
    <row r="32" spans="1:4" x14ac:dyDescent="0.35">
      <c r="A32" s="3" t="s">
        <v>61</v>
      </c>
      <c r="B32" s="1">
        <v>0.76923076923076927</v>
      </c>
      <c r="C32" s="1">
        <v>0.23076923076923078</v>
      </c>
      <c r="D32" s="1">
        <v>1</v>
      </c>
    </row>
    <row r="33" spans="1:4" x14ac:dyDescent="0.35">
      <c r="A33" s="3" t="s">
        <v>50</v>
      </c>
      <c r="B33" s="1">
        <v>0.76061776061776065</v>
      </c>
      <c r="C33" s="1">
        <v>0.23938223938223938</v>
      </c>
      <c r="D33" s="1">
        <v>1</v>
      </c>
    </row>
    <row r="34" spans="1:4" x14ac:dyDescent="0.35">
      <c r="A34" s="3" t="s">
        <v>56</v>
      </c>
      <c r="B34" s="1">
        <v>0.9509803921568627</v>
      </c>
      <c r="C34" s="1">
        <v>4.9019607843137254E-2</v>
      </c>
      <c r="D34" s="1">
        <v>1</v>
      </c>
    </row>
    <row r="35" spans="1:4" x14ac:dyDescent="0.35">
      <c r="A35" s="3" t="s">
        <v>53</v>
      </c>
      <c r="B35" s="1">
        <v>0.93103448275862066</v>
      </c>
      <c r="C35" s="1">
        <v>6.8965517241379309E-2</v>
      </c>
      <c r="D35" s="1">
        <v>1</v>
      </c>
    </row>
    <row r="36" spans="1:4" x14ac:dyDescent="0.35">
      <c r="A36" s="3" t="s">
        <v>58</v>
      </c>
      <c r="B36" s="1">
        <v>0.97499999999999998</v>
      </c>
      <c r="C36" s="1">
        <v>2.5000000000000001E-2</v>
      </c>
      <c r="D36" s="1">
        <v>1</v>
      </c>
    </row>
    <row r="37" spans="1:4" x14ac:dyDescent="0.35">
      <c r="A37" s="3" t="s">
        <v>47</v>
      </c>
      <c r="B37" s="1">
        <v>0.83904109589041098</v>
      </c>
      <c r="C37" s="1">
        <v>0.16095890410958905</v>
      </c>
      <c r="D37" s="1">
        <v>1</v>
      </c>
    </row>
    <row r="38" spans="1:4" x14ac:dyDescent="0.35">
      <c r="A38" s="3" t="s">
        <v>40</v>
      </c>
      <c r="B38" s="1">
        <v>0.82515337423312884</v>
      </c>
      <c r="C38" s="1">
        <v>0.17484662576687116</v>
      </c>
      <c r="D38" s="1">
        <v>1</v>
      </c>
    </row>
    <row r="39" spans="1:4" x14ac:dyDescent="0.35">
      <c r="A39" s="3" t="s">
        <v>57</v>
      </c>
      <c r="B39" s="1">
        <v>0.60240963855421692</v>
      </c>
      <c r="C39" s="1">
        <v>0.39759036144578314</v>
      </c>
      <c r="D39" s="1">
        <v>1</v>
      </c>
    </row>
    <row r="40" spans="1:4" x14ac:dyDescent="0.35">
      <c r="A40" s="3" t="s">
        <v>69</v>
      </c>
      <c r="B40" s="1">
        <v>0.83877551020408159</v>
      </c>
      <c r="C40" s="1">
        <v>0.16122448979591836</v>
      </c>
      <c r="D40" s="1">
        <v>1</v>
      </c>
    </row>
    <row r="42" spans="1:4" x14ac:dyDescent="0.35">
      <c r="A42" s="2" t="s">
        <v>75</v>
      </c>
      <c r="B42" s="2" t="s">
        <v>70</v>
      </c>
    </row>
    <row r="43" spans="1:4" x14ac:dyDescent="0.35">
      <c r="A43" s="2" t="s">
        <v>68</v>
      </c>
      <c r="B43" t="s">
        <v>43</v>
      </c>
      <c r="C43" t="s">
        <v>35</v>
      </c>
      <c r="D43" t="s">
        <v>69</v>
      </c>
    </row>
    <row r="44" spans="1:4" x14ac:dyDescent="0.35">
      <c r="A44" s="3">
        <v>1</v>
      </c>
      <c r="B44" s="1">
        <v>0.77162629757785473</v>
      </c>
      <c r="C44" s="1">
        <v>0.22837370242214533</v>
      </c>
      <c r="D44" s="1">
        <v>1</v>
      </c>
    </row>
    <row r="45" spans="1:4" x14ac:dyDescent="0.35">
      <c r="A45" s="3">
        <v>2</v>
      </c>
      <c r="B45" s="1">
        <v>0.83571428571428574</v>
      </c>
      <c r="C45" s="1">
        <v>0.16428571428571428</v>
      </c>
      <c r="D45" s="1">
        <v>1</v>
      </c>
    </row>
    <row r="46" spans="1:4" x14ac:dyDescent="0.35">
      <c r="A46" s="3">
        <v>3</v>
      </c>
      <c r="B46" s="1">
        <v>0.83484162895927605</v>
      </c>
      <c r="C46" s="1">
        <v>0.16515837104072398</v>
      </c>
      <c r="D46" s="1">
        <v>1</v>
      </c>
    </row>
    <row r="47" spans="1:4" x14ac:dyDescent="0.35">
      <c r="A47" s="3">
        <v>4</v>
      </c>
      <c r="B47" s="1">
        <v>0.88671023965141615</v>
      </c>
      <c r="C47" s="1">
        <v>0.11328976034858387</v>
      </c>
      <c r="D47" s="1">
        <v>1</v>
      </c>
    </row>
    <row r="48" spans="1:4" x14ac:dyDescent="0.35">
      <c r="A48" s="3" t="s">
        <v>69</v>
      </c>
      <c r="B48" s="1">
        <v>0.83877551020408159</v>
      </c>
      <c r="C48" s="1">
        <v>0.16122448979591836</v>
      </c>
      <c r="D48" s="1">
        <v>1</v>
      </c>
    </row>
    <row r="52" spans="1:4" x14ac:dyDescent="0.35">
      <c r="A52" s="2" t="s">
        <v>75</v>
      </c>
      <c r="B52" s="2" t="s">
        <v>70</v>
      </c>
    </row>
    <row r="53" spans="1:4" x14ac:dyDescent="0.35">
      <c r="A53" s="2" t="s">
        <v>68</v>
      </c>
      <c r="B53" t="s">
        <v>43</v>
      </c>
      <c r="C53" t="s">
        <v>35</v>
      </c>
      <c r="D53" t="s">
        <v>69</v>
      </c>
    </row>
    <row r="54" spans="1:4" x14ac:dyDescent="0.35">
      <c r="A54" s="3" t="s">
        <v>83</v>
      </c>
      <c r="B54" s="1">
        <v>0.86234177215189878</v>
      </c>
      <c r="C54" s="1">
        <v>0.13765822784810128</v>
      </c>
      <c r="D54" s="1">
        <v>1</v>
      </c>
    </row>
    <row r="55" spans="1:4" x14ac:dyDescent="0.35">
      <c r="A55" s="3" t="s">
        <v>84</v>
      </c>
      <c r="B55" s="1">
        <v>0.85532994923857864</v>
      </c>
      <c r="C55" s="1">
        <v>0.14467005076142131</v>
      </c>
      <c r="D55" s="1">
        <v>1</v>
      </c>
    </row>
    <row r="56" spans="1:4" x14ac:dyDescent="0.35">
      <c r="A56" s="3" t="s">
        <v>85</v>
      </c>
      <c r="B56" s="1">
        <v>0.78260869565217395</v>
      </c>
      <c r="C56" s="1">
        <v>0.21739130434782608</v>
      </c>
      <c r="D56" s="1">
        <v>1</v>
      </c>
    </row>
    <row r="57" spans="1:4" x14ac:dyDescent="0.35">
      <c r="A57" s="3" t="s">
        <v>86</v>
      </c>
      <c r="B57" s="1">
        <v>0.81599999999999995</v>
      </c>
      <c r="C57" s="1">
        <v>0.184</v>
      </c>
      <c r="D57" s="1">
        <v>1</v>
      </c>
    </row>
    <row r="58" spans="1:4" x14ac:dyDescent="0.35">
      <c r="A58" s="3" t="s">
        <v>87</v>
      </c>
      <c r="B58" s="1">
        <v>0.72649572649572647</v>
      </c>
      <c r="C58" s="1">
        <v>0.27350427350427353</v>
      </c>
      <c r="D58" s="1">
        <v>1</v>
      </c>
    </row>
    <row r="59" spans="1:4" x14ac:dyDescent="0.35">
      <c r="A59" s="3" t="s">
        <v>88</v>
      </c>
      <c r="B59" s="1">
        <v>0.85057471264367812</v>
      </c>
      <c r="C59" s="1">
        <v>0.14942528735632185</v>
      </c>
      <c r="D59" s="1">
        <v>1</v>
      </c>
    </row>
    <row r="60" spans="1:4" x14ac:dyDescent="0.35">
      <c r="A60" s="3" t="s">
        <v>69</v>
      </c>
      <c r="B60" s="1">
        <v>0.83877551020408159</v>
      </c>
      <c r="C60" s="1">
        <v>0.16122448979591836</v>
      </c>
      <c r="D60" s="1">
        <v>1</v>
      </c>
    </row>
    <row r="86" spans="1:4" x14ac:dyDescent="0.35">
      <c r="A86" s="2" t="s">
        <v>75</v>
      </c>
      <c r="B86" s="2" t="s">
        <v>70</v>
      </c>
    </row>
    <row r="87" spans="1:4" x14ac:dyDescent="0.35">
      <c r="A87" s="2" t="s">
        <v>68</v>
      </c>
      <c r="B87" t="s">
        <v>43</v>
      </c>
      <c r="C87" t="s">
        <v>35</v>
      </c>
      <c r="D87" t="s">
        <v>69</v>
      </c>
    </row>
    <row r="88" spans="1:4" x14ac:dyDescent="0.35">
      <c r="A88" s="3" t="s">
        <v>76</v>
      </c>
      <c r="B88" s="1">
        <v>0.89195402298850579</v>
      </c>
      <c r="C88" s="1">
        <v>0.10804597701149425</v>
      </c>
      <c r="D88" s="1">
        <v>1</v>
      </c>
    </row>
    <row r="89" spans="1:4" x14ac:dyDescent="0.35">
      <c r="A89" s="3" t="s">
        <v>77</v>
      </c>
      <c r="B89" s="1">
        <v>0.71392405063291142</v>
      </c>
      <c r="C89" s="1">
        <v>0.28607594936708863</v>
      </c>
      <c r="D89" s="1">
        <v>1</v>
      </c>
    </row>
    <row r="90" spans="1:4" x14ac:dyDescent="0.35">
      <c r="A90" s="3" t="s">
        <v>78</v>
      </c>
      <c r="B90" s="1">
        <v>0.87968749999999996</v>
      </c>
      <c r="C90" s="1">
        <v>0.1203125</v>
      </c>
      <c r="D90" s="1">
        <v>1</v>
      </c>
    </row>
    <row r="91" spans="1:4" x14ac:dyDescent="0.35">
      <c r="A91" s="3" t="s">
        <v>69</v>
      </c>
      <c r="B91" s="1">
        <v>0.83877551020408159</v>
      </c>
      <c r="C91" s="1">
        <v>0.16122448979591836</v>
      </c>
      <c r="D91" s="1">
        <v>1</v>
      </c>
    </row>
    <row r="94" spans="1:4" x14ac:dyDescent="0.35">
      <c r="A94" s="2" t="s">
        <v>75</v>
      </c>
      <c r="B94" s="2" t="s">
        <v>70</v>
      </c>
    </row>
    <row r="95" spans="1:4" x14ac:dyDescent="0.35">
      <c r="A95" s="2" t="s">
        <v>68</v>
      </c>
      <c r="B95" t="s">
        <v>43</v>
      </c>
      <c r="C95" t="s">
        <v>35</v>
      </c>
      <c r="D95" t="s">
        <v>69</v>
      </c>
    </row>
    <row r="96" spans="1:4" x14ac:dyDescent="0.35">
      <c r="A96" s="3" t="s">
        <v>79</v>
      </c>
      <c r="B96" s="1">
        <v>0.70175438596491224</v>
      </c>
      <c r="C96" s="1">
        <v>0.2982456140350877</v>
      </c>
      <c r="D96" s="1">
        <v>1</v>
      </c>
    </row>
    <row r="97" spans="1:4" x14ac:dyDescent="0.35">
      <c r="A97" s="3" t="s">
        <v>80</v>
      </c>
      <c r="B97" s="1">
        <v>0.91869918699186992</v>
      </c>
      <c r="C97" s="1">
        <v>8.1300813008130079E-2</v>
      </c>
      <c r="D97" s="1">
        <v>1</v>
      </c>
    </row>
    <row r="98" spans="1:4" x14ac:dyDescent="0.35">
      <c r="A98" s="3" t="s">
        <v>81</v>
      </c>
      <c r="B98" s="1">
        <v>0.86175115207373276</v>
      </c>
      <c r="C98" s="1">
        <v>0.13824884792626729</v>
      </c>
      <c r="D98" s="1">
        <v>1</v>
      </c>
    </row>
    <row r="99" spans="1:4" x14ac:dyDescent="0.35">
      <c r="A99" s="3" t="s">
        <v>82</v>
      </c>
      <c r="B99" s="1">
        <v>0.8772321428571429</v>
      </c>
      <c r="C99" s="1">
        <v>0.12276785714285714</v>
      </c>
      <c r="D99" s="1">
        <v>1</v>
      </c>
    </row>
    <row r="100" spans="1:4" x14ac:dyDescent="0.35">
      <c r="A100" s="3" t="s">
        <v>69</v>
      </c>
      <c r="B100" s="1">
        <v>0.83877551020408159</v>
      </c>
      <c r="C100" s="1">
        <v>0.16122448979591836</v>
      </c>
      <c r="D100" s="1">
        <v>1</v>
      </c>
    </row>
  </sheetData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F78F-3714-468D-80B4-F747D29F67C1}">
  <dimension ref="C5"/>
  <sheetViews>
    <sheetView topLeftCell="A5" zoomScale="46" zoomScaleNormal="46" workbookViewId="0">
      <selection activeCell="B10" sqref="B10"/>
    </sheetView>
  </sheetViews>
  <sheetFormatPr defaultRowHeight="14.5" x14ac:dyDescent="0.35"/>
  <sheetData>
    <row r="5" spans="3:3" ht="47.5" x14ac:dyDescent="1.1000000000000001">
      <c r="C5" s="4" t="s">
        <v>89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C4B4E-28DB-445E-A747-8DF382503CAF}">
  <dimension ref="A1:AS1471"/>
  <sheetViews>
    <sheetView topLeftCell="AJ2" workbookViewId="0">
      <selection activeCell="AS2" sqref="AS2"/>
    </sheetView>
  </sheetViews>
  <sheetFormatPr defaultRowHeight="14.5" x14ac:dyDescent="0.35"/>
  <cols>
    <col min="2" max="2" width="9.6328125" customWidth="1"/>
    <col min="3" max="3" width="15.36328125" customWidth="1"/>
    <col min="4" max="4" width="10.90625" customWidth="1"/>
    <col min="5" max="5" width="12.81640625" customWidth="1"/>
    <col min="6" max="6" width="19.453125" customWidth="1"/>
    <col min="7" max="7" width="11.26953125" customWidth="1"/>
    <col min="8" max="8" width="15.453125" customWidth="1"/>
    <col min="9" max="9" width="16.08984375" customWidth="1"/>
    <col min="10" max="10" width="17.7265625" customWidth="1"/>
    <col min="11" max="11" width="23.54296875" customWidth="1"/>
    <col min="12" max="12" width="8.90625" customWidth="1"/>
    <col min="13" max="13" width="12.08984375" customWidth="1"/>
    <col min="14" max="14" width="15.90625" customWidth="1"/>
    <col min="15" max="15" width="9.90625" customWidth="1"/>
    <col min="16" max="16" width="9.26953125" customWidth="1"/>
    <col min="17" max="17" width="15.6328125" customWidth="1"/>
    <col min="18" max="18" width="14" customWidth="1"/>
    <col min="19" max="19" width="15.81640625" customWidth="1"/>
    <col min="20" max="20" width="13.36328125" customWidth="1"/>
    <col min="21" max="21" width="22.7265625" customWidth="1"/>
    <col min="23" max="23" width="10.7265625" customWidth="1"/>
    <col min="24" max="24" width="18.26953125" customWidth="1"/>
    <col min="25" max="25" width="18.90625" customWidth="1"/>
    <col min="26" max="26" width="23.54296875" customWidth="1"/>
    <col min="27" max="27" width="15.36328125" customWidth="1"/>
    <col min="28" max="28" width="17.54296875" customWidth="1"/>
    <col min="29" max="29" width="18.36328125" customWidth="1"/>
    <col min="30" max="30" width="21.7265625" customWidth="1"/>
    <col min="31" max="31" width="16.90625" customWidth="1"/>
    <col min="32" max="32" width="17.1796875" customWidth="1"/>
    <col min="33" max="33" width="19.1796875" customWidth="1"/>
    <col min="34" max="34" width="24.26953125" customWidth="1"/>
    <col min="35" max="35" width="22.08984375" customWidth="1"/>
  </cols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62</v>
      </c>
      <c r="AK1" t="s">
        <v>63</v>
      </c>
      <c r="AL1" t="s">
        <v>64</v>
      </c>
    </row>
    <row r="2" spans="1:4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tr">
        <f>IF(Table1[[#This Row],[Age]]&lt;=25,"Young",IF(Table1[[#This Row],[Age]]&lt;=35,"Early Career",IF(Table1[[#This Row],[Age]]&lt;=45,"Mid Career","Senior")))</f>
        <v>Mid Career</v>
      </c>
      <c r="AK2" t="str">
        <f>IF(Table1[[#This Row],[MonthlyIncome]]&lt;3000,"Low",IF(Table1[[#This Row],[MonthlyIncome]]&lt;7000,"Medium","High"))</f>
        <v>Medium</v>
      </c>
      <c r="AL2" t="str">
        <f>IF(Table1[[#This Row],[YearsAtCompany]]&lt;=2,"0–2 Years",IF(Table1[[#This Row],[YearsAtCompany]]&lt;=5,"3–5 Years",IF(Table1[[#This Row],[YearsAtCompany]]&lt;=10,"6–10 Years","11+ Years")))</f>
        <v>6–10 Years</v>
      </c>
      <c r="AS2" t="s">
        <v>65</v>
      </c>
    </row>
    <row r="3" spans="1:4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tr">
        <f>IF(Table1[[#This Row],[Age]]&lt;=25,"Young",IF(Table1[[#This Row],[Age]]&lt;=35,"Early Career",IF(Table1[[#This Row],[Age]]&lt;=45,"Mid Career","Senior")))</f>
        <v>Senior</v>
      </c>
      <c r="AK3" t="str">
        <f>IF(Table1[[#This Row],[MonthlyIncome]]&lt;3000,"Low",IF(Table1[[#This Row],[MonthlyIncome]]&lt;7000,"Medium","High"))</f>
        <v>Medium</v>
      </c>
      <c r="AL3" t="str">
        <f>IF(Table1[[#This Row],[YearsAtCompany]]&lt;=2,"0–2 Years",IF(Table1[[#This Row],[YearsAtCompany]]&lt;=5,"3–5 Years",IF(Table1[[#This Row],[YearsAtCompany]]&lt;=10,"6–10 Years","11+ Years")))</f>
        <v>6–10 Years</v>
      </c>
      <c r="AS3">
        <f>COUNTA(Table1[EmployeeNumber])</f>
        <v>1470</v>
      </c>
    </row>
    <row r="4" spans="1:4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tr">
        <f>IF(Table1[[#This Row],[Age]]&lt;=25,"Young",IF(Table1[[#This Row],[Age]]&lt;=35,"Early Career",IF(Table1[[#This Row],[Age]]&lt;=45,"Mid Career","Senior")))</f>
        <v>Mid Career</v>
      </c>
      <c r="AK4" t="str">
        <f>IF(Table1[[#This Row],[MonthlyIncome]]&lt;3000,"Low",IF(Table1[[#This Row],[MonthlyIncome]]&lt;7000,"Medium","High"))</f>
        <v>Low</v>
      </c>
      <c r="AL4" t="str">
        <f>IF(Table1[[#This Row],[YearsAtCompany]]&lt;=2,"0–2 Years",IF(Table1[[#This Row],[YearsAtCompany]]&lt;=5,"3–5 Years",IF(Table1[[#This Row],[YearsAtCompany]]&lt;=10,"6–10 Years","11+ Years")))</f>
        <v>0–2 Years</v>
      </c>
      <c r="AS4" t="s">
        <v>66</v>
      </c>
    </row>
    <row r="5" spans="1:4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tr">
        <f>IF(Table1[[#This Row],[Age]]&lt;=25,"Young",IF(Table1[[#This Row],[Age]]&lt;=35,"Early Career",IF(Table1[[#This Row],[Age]]&lt;=45,"Mid Career","Senior")))</f>
        <v>Early Career</v>
      </c>
      <c r="AK5" t="str">
        <f>IF(Table1[[#This Row],[MonthlyIncome]]&lt;3000,"Low",IF(Table1[[#This Row],[MonthlyIncome]]&lt;7000,"Medium","High"))</f>
        <v>Low</v>
      </c>
      <c r="AL5" t="str">
        <f>IF(Table1[[#This Row],[YearsAtCompany]]&lt;=2,"0–2 Years",IF(Table1[[#This Row],[YearsAtCompany]]&lt;=5,"3–5 Years",IF(Table1[[#This Row],[YearsAtCompany]]&lt;=10,"6–10 Years","11+ Years")))</f>
        <v>6–10 Years</v>
      </c>
      <c r="AS5">
        <f>COUNTIF(Table1[Attrition],"Yes")</f>
        <v>237</v>
      </c>
    </row>
    <row r="6" spans="1:4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tr">
        <f>IF(Table1[[#This Row],[Age]]&lt;=25,"Young",IF(Table1[[#This Row],[Age]]&lt;=35,"Early Career",IF(Table1[[#This Row],[Age]]&lt;=45,"Mid Career","Senior")))</f>
        <v>Early Career</v>
      </c>
      <c r="AK6" t="str">
        <f>IF(Table1[[#This Row],[MonthlyIncome]]&lt;3000,"Low",IF(Table1[[#This Row],[MonthlyIncome]]&lt;7000,"Medium","High"))</f>
        <v>Medium</v>
      </c>
      <c r="AL6" t="str">
        <f>IF(Table1[[#This Row],[YearsAtCompany]]&lt;=2,"0–2 Years",IF(Table1[[#This Row],[YearsAtCompany]]&lt;=5,"3–5 Years",IF(Table1[[#This Row],[YearsAtCompany]]&lt;=10,"6–10 Years","11+ Years")))</f>
        <v>0–2 Years</v>
      </c>
      <c r="AS6" t="s">
        <v>67</v>
      </c>
    </row>
    <row r="7" spans="1:4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tr">
        <f>IF(Table1[[#This Row],[Age]]&lt;=25,"Young",IF(Table1[[#This Row],[Age]]&lt;=35,"Early Career",IF(Table1[[#This Row],[Age]]&lt;=45,"Mid Career","Senior")))</f>
        <v>Early Career</v>
      </c>
      <c r="AK7" t="str">
        <f>IF(Table1[[#This Row],[MonthlyIncome]]&lt;3000,"Low",IF(Table1[[#This Row],[MonthlyIncome]]&lt;7000,"Medium","High"))</f>
        <v>Medium</v>
      </c>
      <c r="AL7" t="str">
        <f>IF(Table1[[#This Row],[YearsAtCompany]]&lt;=2,"0–2 Years",IF(Table1[[#This Row],[YearsAtCompany]]&lt;=5,"3–5 Years",IF(Table1[[#This Row],[YearsAtCompany]]&lt;=10,"6–10 Years","11+ Years")))</f>
        <v>6–10 Years</v>
      </c>
      <c r="AS7" s="1">
        <f>AS5/AS3</f>
        <v>0.16122448979591836</v>
      </c>
    </row>
    <row r="8" spans="1:4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tr">
        <f>IF(Table1[[#This Row],[Age]]&lt;=25,"Young",IF(Table1[[#This Row],[Age]]&lt;=35,"Early Career",IF(Table1[[#This Row],[Age]]&lt;=45,"Mid Career","Senior")))</f>
        <v>Senior</v>
      </c>
      <c r="AK8" t="str">
        <f>IF(Table1[[#This Row],[MonthlyIncome]]&lt;3000,"Low",IF(Table1[[#This Row],[MonthlyIncome]]&lt;7000,"Medium","High"))</f>
        <v>Low</v>
      </c>
      <c r="AL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9" spans="1:4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tr">
        <f>IF(Table1[[#This Row],[Age]]&lt;=25,"Young",IF(Table1[[#This Row],[Age]]&lt;=35,"Early Career",IF(Table1[[#This Row],[Age]]&lt;=45,"Mid Career","Senior")))</f>
        <v>Early Career</v>
      </c>
      <c r="AK9" t="str">
        <f>IF(Table1[[#This Row],[MonthlyIncome]]&lt;3000,"Low",IF(Table1[[#This Row],[MonthlyIncome]]&lt;7000,"Medium","High"))</f>
        <v>Low</v>
      </c>
      <c r="AL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0" spans="1:4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tr">
        <f>IF(Table1[[#This Row],[Age]]&lt;=25,"Young",IF(Table1[[#This Row],[Age]]&lt;=35,"Early Career",IF(Table1[[#This Row],[Age]]&lt;=45,"Mid Career","Senior")))</f>
        <v>Mid Career</v>
      </c>
      <c r="AK10" t="str">
        <f>IF(Table1[[#This Row],[MonthlyIncome]]&lt;3000,"Low",IF(Table1[[#This Row],[MonthlyIncome]]&lt;7000,"Medium","High"))</f>
        <v>High</v>
      </c>
      <c r="AL1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" spans="1:4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tr">
        <f>IF(Table1[[#This Row],[Age]]&lt;=25,"Young",IF(Table1[[#This Row],[Age]]&lt;=35,"Early Career",IF(Table1[[#This Row],[Age]]&lt;=45,"Mid Career","Senior")))</f>
        <v>Mid Career</v>
      </c>
      <c r="AK11" t="str">
        <f>IF(Table1[[#This Row],[MonthlyIncome]]&lt;3000,"Low",IF(Table1[[#This Row],[MonthlyIncome]]&lt;7000,"Medium","High"))</f>
        <v>Medium</v>
      </c>
      <c r="AL1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" spans="1:4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tr">
        <f>IF(Table1[[#This Row],[Age]]&lt;=25,"Young",IF(Table1[[#This Row],[Age]]&lt;=35,"Early Career",IF(Table1[[#This Row],[Age]]&lt;=45,"Mid Career","Senior")))</f>
        <v>Early Career</v>
      </c>
      <c r="AK12" t="str">
        <f>IF(Table1[[#This Row],[MonthlyIncome]]&lt;3000,"Low",IF(Table1[[#This Row],[MonthlyIncome]]&lt;7000,"Medium","High"))</f>
        <v>Low</v>
      </c>
      <c r="AL1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" spans="1:4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tr">
        <f>IF(Table1[[#This Row],[Age]]&lt;=25,"Young",IF(Table1[[#This Row],[Age]]&lt;=35,"Early Career",IF(Table1[[#This Row],[Age]]&lt;=45,"Mid Career","Senior")))</f>
        <v>Early Career</v>
      </c>
      <c r="AK13" t="str">
        <f>IF(Table1[[#This Row],[MonthlyIncome]]&lt;3000,"Low",IF(Table1[[#This Row],[MonthlyIncome]]&lt;7000,"Medium","High"))</f>
        <v>Medium</v>
      </c>
      <c r="AL1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4" spans="1:4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tr">
        <f>IF(Table1[[#This Row],[Age]]&lt;=25,"Young",IF(Table1[[#This Row],[Age]]&lt;=35,"Early Career",IF(Table1[[#This Row],[Age]]&lt;=45,"Mid Career","Senior")))</f>
        <v>Early Career</v>
      </c>
      <c r="AK14" t="str">
        <f>IF(Table1[[#This Row],[MonthlyIncome]]&lt;3000,"Low",IF(Table1[[#This Row],[MonthlyIncome]]&lt;7000,"Medium","High"))</f>
        <v>Low</v>
      </c>
      <c r="AL1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5" spans="1:4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tr">
        <f>IF(Table1[[#This Row],[Age]]&lt;=25,"Young",IF(Table1[[#This Row],[Age]]&lt;=35,"Early Career",IF(Table1[[#This Row],[Age]]&lt;=45,"Mid Career","Senior")))</f>
        <v>Early Career</v>
      </c>
      <c r="AK15" t="str">
        <f>IF(Table1[[#This Row],[MonthlyIncome]]&lt;3000,"Low",IF(Table1[[#This Row],[MonthlyIncome]]&lt;7000,"Medium","High"))</f>
        <v>Low</v>
      </c>
      <c r="AL15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6" spans="1:4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tr">
        <f>IF(Table1[[#This Row],[Age]]&lt;=25,"Young",IF(Table1[[#This Row],[Age]]&lt;=35,"Early Career",IF(Table1[[#This Row],[Age]]&lt;=45,"Mid Career","Senior")))</f>
        <v>Early Career</v>
      </c>
      <c r="AK16" t="str">
        <f>IF(Table1[[#This Row],[MonthlyIncome]]&lt;3000,"Low",IF(Table1[[#This Row],[MonthlyIncome]]&lt;7000,"Medium","High"))</f>
        <v>Low</v>
      </c>
      <c r="AL1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7" spans="1:38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tr">
        <f>IF(Table1[[#This Row],[Age]]&lt;=25,"Young",IF(Table1[[#This Row],[Age]]&lt;=35,"Early Career",IF(Table1[[#This Row],[Age]]&lt;=45,"Mid Career","Senior")))</f>
        <v>Early Career</v>
      </c>
      <c r="AK17" t="str">
        <f>IF(Table1[[#This Row],[MonthlyIncome]]&lt;3000,"Low",IF(Table1[[#This Row],[MonthlyIncome]]&lt;7000,"Medium","High"))</f>
        <v>High</v>
      </c>
      <c r="AL1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8" spans="1:38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tr">
        <f>IF(Table1[[#This Row],[Age]]&lt;=25,"Young",IF(Table1[[#This Row],[Age]]&lt;=35,"Early Career",IF(Table1[[#This Row],[Age]]&lt;=45,"Mid Career","Senior")))</f>
        <v>Early Career</v>
      </c>
      <c r="AK18" t="str">
        <f>IF(Table1[[#This Row],[MonthlyIncome]]&lt;3000,"Low",IF(Table1[[#This Row],[MonthlyIncome]]&lt;7000,"Medium","High"))</f>
        <v>Medium</v>
      </c>
      <c r="AL1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9" spans="1:38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tr">
        <f>IF(Table1[[#This Row],[Age]]&lt;=25,"Young",IF(Table1[[#This Row],[Age]]&lt;=35,"Early Career",IF(Table1[[#This Row],[Age]]&lt;=45,"Mid Career","Senior")))</f>
        <v>Young</v>
      </c>
      <c r="AK19" t="str">
        <f>IF(Table1[[#This Row],[MonthlyIncome]]&lt;3000,"Low",IF(Table1[[#This Row],[MonthlyIncome]]&lt;7000,"Medium","High"))</f>
        <v>Low</v>
      </c>
      <c r="AL1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20" spans="1:38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tr">
        <f>IF(Table1[[#This Row],[Age]]&lt;=25,"Young",IF(Table1[[#This Row],[Age]]&lt;=35,"Early Career",IF(Table1[[#This Row],[Age]]&lt;=45,"Mid Career","Senior")))</f>
        <v>Senior</v>
      </c>
      <c r="AK20" t="str">
        <f>IF(Table1[[#This Row],[MonthlyIncome]]&lt;3000,"Low",IF(Table1[[#This Row],[MonthlyIncome]]&lt;7000,"Medium","High"))</f>
        <v>High</v>
      </c>
      <c r="AL20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21" spans="1:38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tr">
        <f>IF(Table1[[#This Row],[Age]]&lt;=25,"Young",IF(Table1[[#This Row],[Age]]&lt;=35,"Early Career",IF(Table1[[#This Row],[Age]]&lt;=45,"Mid Career","Senior")))</f>
        <v>Mid Career</v>
      </c>
      <c r="AK21" t="str">
        <f>IF(Table1[[#This Row],[MonthlyIncome]]&lt;3000,"Low",IF(Table1[[#This Row],[MonthlyIncome]]&lt;7000,"Medium","High"))</f>
        <v>Medium</v>
      </c>
      <c r="AL2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2" spans="1:38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tr">
        <f>IF(Table1[[#This Row],[Age]]&lt;=25,"Young",IF(Table1[[#This Row],[Age]]&lt;=35,"Early Career",IF(Table1[[#This Row],[Age]]&lt;=45,"Mid Career","Senior")))</f>
        <v>Young</v>
      </c>
      <c r="AK22" t="str">
        <f>IF(Table1[[#This Row],[MonthlyIncome]]&lt;3000,"Low",IF(Table1[[#This Row],[MonthlyIncome]]&lt;7000,"Medium","High"))</f>
        <v>Medium</v>
      </c>
      <c r="AL2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3" spans="1:38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tr">
        <f>IF(Table1[[#This Row],[Age]]&lt;=25,"Young",IF(Table1[[#This Row],[Age]]&lt;=35,"Early Career",IF(Table1[[#This Row],[Age]]&lt;=45,"Mid Career","Senior")))</f>
        <v>Mid Career</v>
      </c>
      <c r="AK23" t="str">
        <f>IF(Table1[[#This Row],[MonthlyIncome]]&lt;3000,"Low",IF(Table1[[#This Row],[MonthlyIncome]]&lt;7000,"Medium","High"))</f>
        <v>Medium</v>
      </c>
      <c r="AL23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4" spans="1:38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tr">
        <f>IF(Table1[[#This Row],[Age]]&lt;=25,"Young",IF(Table1[[#This Row],[Age]]&lt;=35,"Early Career",IF(Table1[[#This Row],[Age]]&lt;=45,"Mid Career","Senior")))</f>
        <v>Early Career</v>
      </c>
      <c r="AK24" t="str">
        <f>IF(Table1[[#This Row],[MonthlyIncome]]&lt;3000,"Low",IF(Table1[[#This Row],[MonthlyIncome]]&lt;7000,"Medium","High"))</f>
        <v>High</v>
      </c>
      <c r="AL24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25" spans="1:38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tr">
        <f>IF(Table1[[#This Row],[Age]]&lt;=25,"Young",IF(Table1[[#This Row],[Age]]&lt;=35,"Early Career",IF(Table1[[#This Row],[Age]]&lt;=45,"Mid Career","Senior")))</f>
        <v>Young</v>
      </c>
      <c r="AK25" t="str">
        <f>IF(Table1[[#This Row],[MonthlyIncome]]&lt;3000,"Low",IF(Table1[[#This Row],[MonthlyIncome]]&lt;7000,"Medium","High"))</f>
        <v>Low</v>
      </c>
      <c r="AL25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26" spans="1:38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tr">
        <f>IF(Table1[[#This Row],[Age]]&lt;=25,"Young",IF(Table1[[#This Row],[Age]]&lt;=35,"Early Career",IF(Table1[[#This Row],[Age]]&lt;=45,"Mid Career","Senior")))</f>
        <v>Early Career</v>
      </c>
      <c r="AK26" t="str">
        <f>IF(Table1[[#This Row],[MonthlyIncome]]&lt;3000,"Low",IF(Table1[[#This Row],[MonthlyIncome]]&lt;7000,"Medium","High"))</f>
        <v>Low</v>
      </c>
      <c r="AL2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7" spans="1:38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tr">
        <f>IF(Table1[[#This Row],[Age]]&lt;=25,"Young",IF(Table1[[#This Row],[Age]]&lt;=35,"Early Career",IF(Table1[[#This Row],[Age]]&lt;=45,"Mid Career","Senior")))</f>
        <v>Senior</v>
      </c>
      <c r="AK27" t="str">
        <f>IF(Table1[[#This Row],[MonthlyIncome]]&lt;3000,"Low",IF(Table1[[#This Row],[MonthlyIncome]]&lt;7000,"Medium","High"))</f>
        <v>High</v>
      </c>
      <c r="AL27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28" spans="1:38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tr">
        <f>IF(Table1[[#This Row],[Age]]&lt;=25,"Young",IF(Table1[[#This Row],[Age]]&lt;=35,"Early Career",IF(Table1[[#This Row],[Age]]&lt;=45,"Mid Career","Senior")))</f>
        <v>Early Career</v>
      </c>
      <c r="AK28" t="str">
        <f>IF(Table1[[#This Row],[MonthlyIncome]]&lt;3000,"Low",IF(Table1[[#This Row],[MonthlyIncome]]&lt;7000,"Medium","High"))</f>
        <v>Medium</v>
      </c>
      <c r="AL2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9" spans="1:38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tr">
        <f>IF(Table1[[#This Row],[Age]]&lt;=25,"Young",IF(Table1[[#This Row],[Age]]&lt;=35,"Early Career",IF(Table1[[#This Row],[Age]]&lt;=45,"Mid Career","Senior")))</f>
        <v>Mid Career</v>
      </c>
      <c r="AK29" t="str">
        <f>IF(Table1[[#This Row],[MonthlyIncome]]&lt;3000,"Low",IF(Table1[[#This Row],[MonthlyIncome]]&lt;7000,"Medium","High"))</f>
        <v>Medium</v>
      </c>
      <c r="AL29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30" spans="1:38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tr">
        <f>IF(Table1[[#This Row],[Age]]&lt;=25,"Young",IF(Table1[[#This Row],[Age]]&lt;=35,"Early Career",IF(Table1[[#This Row],[Age]]&lt;=45,"Mid Career","Senior")))</f>
        <v>Mid Career</v>
      </c>
      <c r="AK30" t="str">
        <f>IF(Table1[[#This Row],[MonthlyIncome]]&lt;3000,"Low",IF(Table1[[#This Row],[MonthlyIncome]]&lt;7000,"Medium","High"))</f>
        <v>High</v>
      </c>
      <c r="AL30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31" spans="1:38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tr">
        <f>IF(Table1[[#This Row],[Age]]&lt;=25,"Young",IF(Table1[[#This Row],[Age]]&lt;=35,"Early Career",IF(Table1[[#This Row],[Age]]&lt;=45,"Mid Career","Senior")))</f>
        <v>Senior</v>
      </c>
      <c r="AK31" t="str">
        <f>IF(Table1[[#This Row],[MonthlyIncome]]&lt;3000,"Low",IF(Table1[[#This Row],[MonthlyIncome]]&lt;7000,"Medium","High"))</f>
        <v>High</v>
      </c>
      <c r="AL3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32" spans="1:38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tr">
        <f>IF(Table1[[#This Row],[Age]]&lt;=25,"Young",IF(Table1[[#This Row],[Age]]&lt;=35,"Early Career",IF(Table1[[#This Row],[Age]]&lt;=45,"Mid Career","Senior")))</f>
        <v>Early Career</v>
      </c>
      <c r="AK32" t="str">
        <f>IF(Table1[[#This Row],[MonthlyIncome]]&lt;3000,"Low",IF(Table1[[#This Row],[MonthlyIncome]]&lt;7000,"Medium","High"))</f>
        <v>Low</v>
      </c>
      <c r="AL3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33" spans="1:38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tr">
        <f>IF(Table1[[#This Row],[Age]]&lt;=25,"Young",IF(Table1[[#This Row],[Age]]&lt;=35,"Early Career",IF(Table1[[#This Row],[Age]]&lt;=45,"Mid Career","Senior")))</f>
        <v>Mid Career</v>
      </c>
      <c r="AK33" t="str">
        <f>IF(Table1[[#This Row],[MonthlyIncome]]&lt;3000,"Low",IF(Table1[[#This Row],[MonthlyIncome]]&lt;7000,"Medium","High"))</f>
        <v>Medium</v>
      </c>
      <c r="AL33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4" spans="1:38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tr">
        <f>IF(Table1[[#This Row],[Age]]&lt;=25,"Young",IF(Table1[[#This Row],[Age]]&lt;=35,"Early Career",IF(Table1[[#This Row],[Age]]&lt;=45,"Mid Career","Senior")))</f>
        <v>Early Career</v>
      </c>
      <c r="AK34" t="str">
        <f>IF(Table1[[#This Row],[MonthlyIncome]]&lt;3000,"Low",IF(Table1[[#This Row],[MonthlyIncome]]&lt;7000,"Medium","High"))</f>
        <v>Low</v>
      </c>
      <c r="AL3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35" spans="1:38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tr">
        <f>IF(Table1[[#This Row],[Age]]&lt;=25,"Young",IF(Table1[[#This Row],[Age]]&lt;=35,"Early Career",IF(Table1[[#This Row],[Age]]&lt;=45,"Mid Career","Senior")))</f>
        <v>Mid Career</v>
      </c>
      <c r="AK35" t="str">
        <f>IF(Table1[[#This Row],[MonthlyIncome]]&lt;3000,"Low",IF(Table1[[#This Row],[MonthlyIncome]]&lt;7000,"Medium","High"))</f>
        <v>Low</v>
      </c>
      <c r="AL35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36" spans="1:38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tr">
        <f>IF(Table1[[#This Row],[Age]]&lt;=25,"Young",IF(Table1[[#This Row],[Age]]&lt;=35,"Early Career",IF(Table1[[#This Row],[Age]]&lt;=45,"Mid Career","Senior")))</f>
        <v>Young</v>
      </c>
      <c r="AK36" t="str">
        <f>IF(Table1[[#This Row],[MonthlyIncome]]&lt;3000,"Low",IF(Table1[[#This Row],[MonthlyIncome]]&lt;7000,"Medium","High"))</f>
        <v>Low</v>
      </c>
      <c r="AL36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37" spans="1:38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tr">
        <f>IF(Table1[[#This Row],[Age]]&lt;=25,"Young",IF(Table1[[#This Row],[Age]]&lt;=35,"Early Career",IF(Table1[[#This Row],[Age]]&lt;=45,"Mid Career","Senior")))</f>
        <v>Mid Career</v>
      </c>
      <c r="AK37" t="str">
        <f>IF(Table1[[#This Row],[MonthlyIncome]]&lt;3000,"Low",IF(Table1[[#This Row],[MonthlyIncome]]&lt;7000,"Medium","High"))</f>
        <v>Low</v>
      </c>
      <c r="AL3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8" spans="1:38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tr">
        <f>IF(Table1[[#This Row],[Age]]&lt;=25,"Young",IF(Table1[[#This Row],[Age]]&lt;=35,"Early Career",IF(Table1[[#This Row],[Age]]&lt;=45,"Mid Career","Senior")))</f>
        <v>Senior</v>
      </c>
      <c r="AK38" t="str">
        <f>IF(Table1[[#This Row],[MonthlyIncome]]&lt;3000,"Low",IF(Table1[[#This Row],[MonthlyIncome]]&lt;7000,"Medium","High"))</f>
        <v>Low</v>
      </c>
      <c r="AL3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9" spans="1:38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tr">
        <f>IF(Table1[[#This Row],[Age]]&lt;=25,"Young",IF(Table1[[#This Row],[Age]]&lt;=35,"Early Career",IF(Table1[[#This Row],[Age]]&lt;=45,"Mid Career","Senior")))</f>
        <v>Early Career</v>
      </c>
      <c r="AK39" t="str">
        <f>IF(Table1[[#This Row],[MonthlyIncome]]&lt;3000,"Low",IF(Table1[[#This Row],[MonthlyIncome]]&lt;7000,"Medium","High"))</f>
        <v>Low</v>
      </c>
      <c r="AL3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40" spans="1:38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tr">
        <f>IF(Table1[[#This Row],[Age]]&lt;=25,"Young",IF(Table1[[#This Row],[Age]]&lt;=35,"Early Career",IF(Table1[[#This Row],[Age]]&lt;=45,"Mid Career","Senior")))</f>
        <v>Mid Career</v>
      </c>
      <c r="AK40" t="str">
        <f>IF(Table1[[#This Row],[MonthlyIncome]]&lt;3000,"Low",IF(Table1[[#This Row],[MonthlyIncome]]&lt;7000,"Medium","High"))</f>
        <v>Medium</v>
      </c>
      <c r="AL4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41" spans="1:38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tr">
        <f>IF(Table1[[#This Row],[Age]]&lt;=25,"Young",IF(Table1[[#This Row],[Age]]&lt;=35,"Early Career",IF(Table1[[#This Row],[Age]]&lt;=45,"Mid Career","Senior")))</f>
        <v>Early Career</v>
      </c>
      <c r="AK41" t="str">
        <f>IF(Table1[[#This Row],[MonthlyIncome]]&lt;3000,"Low",IF(Table1[[#This Row],[MonthlyIncome]]&lt;7000,"Medium","High"))</f>
        <v>Medium</v>
      </c>
      <c r="AL4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42" spans="1:38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tr">
        <f>IF(Table1[[#This Row],[Age]]&lt;=25,"Young",IF(Table1[[#This Row],[Age]]&lt;=35,"Early Career",IF(Table1[[#This Row],[Age]]&lt;=45,"Mid Career","Senior")))</f>
        <v>Early Career</v>
      </c>
      <c r="AK42" t="str">
        <f>IF(Table1[[#This Row],[MonthlyIncome]]&lt;3000,"Low",IF(Table1[[#This Row],[MonthlyIncome]]&lt;7000,"Medium","High"))</f>
        <v>Low</v>
      </c>
      <c r="AL4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43" spans="1:38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tr">
        <f>IF(Table1[[#This Row],[Age]]&lt;=25,"Young",IF(Table1[[#This Row],[Age]]&lt;=35,"Early Career",IF(Table1[[#This Row],[Age]]&lt;=45,"Mid Career","Senior")))</f>
        <v>Early Career</v>
      </c>
      <c r="AK43" t="str">
        <f>IF(Table1[[#This Row],[MonthlyIncome]]&lt;3000,"Low",IF(Table1[[#This Row],[MonthlyIncome]]&lt;7000,"Medium","High"))</f>
        <v>Low</v>
      </c>
      <c r="AL4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44" spans="1:38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tr">
        <f>IF(Table1[[#This Row],[Age]]&lt;=25,"Young",IF(Table1[[#This Row],[Age]]&lt;=35,"Early Career",IF(Table1[[#This Row],[Age]]&lt;=45,"Mid Career","Senior")))</f>
        <v>Early Career</v>
      </c>
      <c r="AK44" t="str">
        <f>IF(Table1[[#This Row],[MonthlyIncome]]&lt;3000,"Low",IF(Table1[[#This Row],[MonthlyIncome]]&lt;7000,"Medium","High"))</f>
        <v>Low</v>
      </c>
      <c r="AL4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45" spans="1:38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tr">
        <f>IF(Table1[[#This Row],[Age]]&lt;=25,"Young",IF(Table1[[#This Row],[Age]]&lt;=35,"Early Career",IF(Table1[[#This Row],[Age]]&lt;=45,"Mid Career","Senior")))</f>
        <v>Early Career</v>
      </c>
      <c r="AK45" t="str">
        <f>IF(Table1[[#This Row],[MonthlyIncome]]&lt;3000,"Low",IF(Table1[[#This Row],[MonthlyIncome]]&lt;7000,"Medium","High"))</f>
        <v>High</v>
      </c>
      <c r="AL4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6" spans="1:38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tr">
        <f>IF(Table1[[#This Row],[Age]]&lt;=25,"Young",IF(Table1[[#This Row],[Age]]&lt;=35,"Early Career",IF(Table1[[#This Row],[Age]]&lt;=45,"Mid Career","Senior")))</f>
        <v>Early Career</v>
      </c>
      <c r="AK46" t="str">
        <f>IF(Table1[[#This Row],[MonthlyIncome]]&lt;3000,"Low",IF(Table1[[#This Row],[MonthlyIncome]]&lt;7000,"Medium","High"))</f>
        <v>Medium</v>
      </c>
      <c r="AL46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47" spans="1:38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tr">
        <f>IF(Table1[[#This Row],[Age]]&lt;=25,"Young",IF(Table1[[#This Row],[Age]]&lt;=35,"Early Career",IF(Table1[[#This Row],[Age]]&lt;=45,"Mid Career","Senior")))</f>
        <v>Mid Career</v>
      </c>
      <c r="AK47" t="str">
        <f>IF(Table1[[#This Row],[MonthlyIncome]]&lt;3000,"Low",IF(Table1[[#This Row],[MonthlyIncome]]&lt;7000,"Medium","High"))</f>
        <v>High</v>
      </c>
      <c r="AL47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48" spans="1:38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tr">
        <f>IF(Table1[[#This Row],[Age]]&lt;=25,"Young",IF(Table1[[#This Row],[Age]]&lt;=35,"Early Career",IF(Table1[[#This Row],[Age]]&lt;=45,"Mid Career","Senior")))</f>
        <v>Early Career</v>
      </c>
      <c r="AK48" t="str">
        <f>IF(Table1[[#This Row],[MonthlyIncome]]&lt;3000,"Low",IF(Table1[[#This Row],[MonthlyIncome]]&lt;7000,"Medium","High"))</f>
        <v>Medium</v>
      </c>
      <c r="AL4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9" spans="1:38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tr">
        <f>IF(Table1[[#This Row],[Age]]&lt;=25,"Young",IF(Table1[[#This Row],[Age]]&lt;=35,"Early Career",IF(Table1[[#This Row],[Age]]&lt;=45,"Mid Career","Senior")))</f>
        <v>Mid Career</v>
      </c>
      <c r="AK49" t="str">
        <f>IF(Table1[[#This Row],[MonthlyIncome]]&lt;3000,"Low",IF(Table1[[#This Row],[MonthlyIncome]]&lt;7000,"Medium","High"))</f>
        <v>Medium</v>
      </c>
      <c r="AL4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50" spans="1:38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tr">
        <f>IF(Table1[[#This Row],[Age]]&lt;=25,"Young",IF(Table1[[#This Row],[Age]]&lt;=35,"Early Career",IF(Table1[[#This Row],[Age]]&lt;=45,"Mid Career","Senior")))</f>
        <v>Senior</v>
      </c>
      <c r="AK50" t="str">
        <f>IF(Table1[[#This Row],[MonthlyIncome]]&lt;3000,"Low",IF(Table1[[#This Row],[MonthlyIncome]]&lt;7000,"Medium","High"))</f>
        <v>Medium</v>
      </c>
      <c r="AL5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1" spans="1:38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tr">
        <f>IF(Table1[[#This Row],[Age]]&lt;=25,"Young",IF(Table1[[#This Row],[Age]]&lt;=35,"Early Career",IF(Table1[[#This Row],[Age]]&lt;=45,"Mid Career","Senior")))</f>
        <v>Early Career</v>
      </c>
      <c r="AK51" t="str">
        <f>IF(Table1[[#This Row],[MonthlyIncome]]&lt;3000,"Low",IF(Table1[[#This Row],[MonthlyIncome]]&lt;7000,"Medium","High"))</f>
        <v>Low</v>
      </c>
      <c r="AL5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52" spans="1:38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tr">
        <f>IF(Table1[[#This Row],[Age]]&lt;=25,"Young",IF(Table1[[#This Row],[Age]]&lt;=35,"Early Career",IF(Table1[[#This Row],[Age]]&lt;=45,"Mid Career","Senior")))</f>
        <v>Senior</v>
      </c>
      <c r="AK52" t="str">
        <f>IF(Table1[[#This Row],[MonthlyIncome]]&lt;3000,"Low",IF(Table1[[#This Row],[MonthlyIncome]]&lt;7000,"Medium","High"))</f>
        <v>Medium</v>
      </c>
      <c r="AL5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53" spans="1:38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tr">
        <f>IF(Table1[[#This Row],[Age]]&lt;=25,"Young",IF(Table1[[#This Row],[Age]]&lt;=35,"Early Career",IF(Table1[[#This Row],[Age]]&lt;=45,"Mid Career","Senior")))</f>
        <v>Early Career</v>
      </c>
      <c r="AK53" t="str">
        <f>IF(Table1[[#This Row],[MonthlyIncome]]&lt;3000,"Low",IF(Table1[[#This Row],[MonthlyIncome]]&lt;7000,"Medium","High"))</f>
        <v>Medium</v>
      </c>
      <c r="AL5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54" spans="1:38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tr">
        <f>IF(Table1[[#This Row],[Age]]&lt;=25,"Young",IF(Table1[[#This Row],[Age]]&lt;=35,"Early Career",IF(Table1[[#This Row],[Age]]&lt;=45,"Mid Career","Senior")))</f>
        <v>Mid Career</v>
      </c>
      <c r="AK54" t="str">
        <f>IF(Table1[[#This Row],[MonthlyIncome]]&lt;3000,"Low",IF(Table1[[#This Row],[MonthlyIncome]]&lt;7000,"Medium","High"))</f>
        <v>Medium</v>
      </c>
      <c r="AL5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55" spans="1:38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tr">
        <f>IF(Table1[[#This Row],[Age]]&lt;=25,"Young",IF(Table1[[#This Row],[Age]]&lt;=35,"Early Career",IF(Table1[[#This Row],[Age]]&lt;=45,"Mid Career","Senior")))</f>
        <v>Early Career</v>
      </c>
      <c r="AK55" t="str">
        <f>IF(Table1[[#This Row],[MonthlyIncome]]&lt;3000,"Low",IF(Table1[[#This Row],[MonthlyIncome]]&lt;7000,"Medium","High"))</f>
        <v>High</v>
      </c>
      <c r="AL5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56" spans="1:38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tr">
        <f>IF(Table1[[#This Row],[Age]]&lt;=25,"Young",IF(Table1[[#This Row],[Age]]&lt;=35,"Early Career",IF(Table1[[#This Row],[Age]]&lt;=45,"Mid Career","Senior")))</f>
        <v>Early Career</v>
      </c>
      <c r="AK56" t="str">
        <f>IF(Table1[[#This Row],[MonthlyIncome]]&lt;3000,"Low",IF(Table1[[#This Row],[MonthlyIncome]]&lt;7000,"Medium","High"))</f>
        <v>Medium</v>
      </c>
      <c r="AL56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57" spans="1:38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tr">
        <f>IF(Table1[[#This Row],[Age]]&lt;=25,"Young",IF(Table1[[#This Row],[Age]]&lt;=35,"Early Career",IF(Table1[[#This Row],[Age]]&lt;=45,"Mid Career","Senior")))</f>
        <v>Early Career</v>
      </c>
      <c r="AK57" t="str">
        <f>IF(Table1[[#This Row],[MonthlyIncome]]&lt;3000,"Low",IF(Table1[[#This Row],[MonthlyIncome]]&lt;7000,"Medium","High"))</f>
        <v>High</v>
      </c>
      <c r="AL57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58" spans="1:38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tr">
        <f>IF(Table1[[#This Row],[Age]]&lt;=25,"Young",IF(Table1[[#This Row],[Age]]&lt;=35,"Early Career",IF(Table1[[#This Row],[Age]]&lt;=45,"Mid Career","Senior")))</f>
        <v>Early Career</v>
      </c>
      <c r="AK58" t="str">
        <f>IF(Table1[[#This Row],[MonthlyIncome]]&lt;3000,"Low",IF(Table1[[#This Row],[MonthlyIncome]]&lt;7000,"Medium","High"))</f>
        <v>High</v>
      </c>
      <c r="AL5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9" spans="1:38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tr">
        <f>IF(Table1[[#This Row],[Age]]&lt;=25,"Young",IF(Table1[[#This Row],[Age]]&lt;=35,"Early Career",IF(Table1[[#This Row],[Age]]&lt;=45,"Mid Career","Senior")))</f>
        <v>Early Career</v>
      </c>
      <c r="AK59" t="str">
        <f>IF(Table1[[#This Row],[MonthlyIncome]]&lt;3000,"Low",IF(Table1[[#This Row],[MonthlyIncome]]&lt;7000,"Medium","High"))</f>
        <v>Medium</v>
      </c>
      <c r="AL5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60" spans="1:38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tr">
        <f>IF(Table1[[#This Row],[Age]]&lt;=25,"Young",IF(Table1[[#This Row],[Age]]&lt;=35,"Early Career",IF(Table1[[#This Row],[Age]]&lt;=45,"Mid Career","Senior")))</f>
        <v>Early Career</v>
      </c>
      <c r="AK60" t="str">
        <f>IF(Table1[[#This Row],[MonthlyIncome]]&lt;3000,"Low",IF(Table1[[#This Row],[MonthlyIncome]]&lt;7000,"Medium","High"))</f>
        <v>Medium</v>
      </c>
      <c r="AL6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61" spans="1:38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tr">
        <f>IF(Table1[[#This Row],[Age]]&lt;=25,"Young",IF(Table1[[#This Row],[Age]]&lt;=35,"Early Career",IF(Table1[[#This Row],[Age]]&lt;=45,"Mid Career","Senior")))</f>
        <v>Mid Career</v>
      </c>
      <c r="AK61" t="str">
        <f>IF(Table1[[#This Row],[MonthlyIncome]]&lt;3000,"Low",IF(Table1[[#This Row],[MonthlyIncome]]&lt;7000,"Medium","High"))</f>
        <v>Medium</v>
      </c>
      <c r="AL6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62" spans="1:38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tr">
        <f>IF(Table1[[#This Row],[Age]]&lt;=25,"Young",IF(Table1[[#This Row],[Age]]&lt;=35,"Early Career",IF(Table1[[#This Row],[Age]]&lt;=45,"Mid Career","Senior")))</f>
        <v>Early Career</v>
      </c>
      <c r="AK62" t="str">
        <f>IF(Table1[[#This Row],[MonthlyIncome]]&lt;3000,"Low",IF(Table1[[#This Row],[MonthlyIncome]]&lt;7000,"Medium","High"))</f>
        <v>Medium</v>
      </c>
      <c r="AL6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63" spans="1:38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tr">
        <f>IF(Table1[[#This Row],[Age]]&lt;=25,"Young",IF(Table1[[#This Row],[Age]]&lt;=35,"Early Career",IF(Table1[[#This Row],[Age]]&lt;=45,"Mid Career","Senior")))</f>
        <v>Mid Career</v>
      </c>
      <c r="AK63" t="str">
        <f>IF(Table1[[#This Row],[MonthlyIncome]]&lt;3000,"Low",IF(Table1[[#This Row],[MonthlyIncome]]&lt;7000,"Medium","High"))</f>
        <v>Low</v>
      </c>
      <c r="AL6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64" spans="1:38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tr">
        <f>IF(Table1[[#This Row],[Age]]&lt;=25,"Young",IF(Table1[[#This Row],[Age]]&lt;=35,"Early Career",IF(Table1[[#This Row],[Age]]&lt;=45,"Mid Career","Senior")))</f>
        <v>Senior</v>
      </c>
      <c r="AK64" t="str">
        <f>IF(Table1[[#This Row],[MonthlyIncome]]&lt;3000,"Low",IF(Table1[[#This Row],[MonthlyIncome]]&lt;7000,"Medium","High"))</f>
        <v>High</v>
      </c>
      <c r="AL64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65" spans="1:38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tr">
        <f>IF(Table1[[#This Row],[Age]]&lt;=25,"Young",IF(Table1[[#This Row],[Age]]&lt;=35,"Early Career",IF(Table1[[#This Row],[Age]]&lt;=45,"Mid Career","Senior")))</f>
        <v>Senior</v>
      </c>
      <c r="AK65" t="str">
        <f>IF(Table1[[#This Row],[MonthlyIncome]]&lt;3000,"Low",IF(Table1[[#This Row],[MonthlyIncome]]&lt;7000,"Medium","High"))</f>
        <v>High</v>
      </c>
      <c r="AL65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66" spans="1:38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tr">
        <f>IF(Table1[[#This Row],[Age]]&lt;=25,"Young",IF(Table1[[#This Row],[Age]]&lt;=35,"Early Career",IF(Table1[[#This Row],[Age]]&lt;=45,"Mid Career","Senior")))</f>
        <v>Mid Career</v>
      </c>
      <c r="AK66" t="str">
        <f>IF(Table1[[#This Row],[MonthlyIncome]]&lt;3000,"Low",IF(Table1[[#This Row],[MonthlyIncome]]&lt;7000,"Medium","High"))</f>
        <v>High</v>
      </c>
      <c r="AL66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67" spans="1:38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tr">
        <f>IF(Table1[[#This Row],[Age]]&lt;=25,"Young",IF(Table1[[#This Row],[Age]]&lt;=35,"Early Career",IF(Table1[[#This Row],[Age]]&lt;=45,"Mid Career","Senior")))</f>
        <v>Senior</v>
      </c>
      <c r="AK67" t="str">
        <f>IF(Table1[[#This Row],[MonthlyIncome]]&lt;3000,"Low",IF(Table1[[#This Row],[MonthlyIncome]]&lt;7000,"Medium","High"))</f>
        <v>High</v>
      </c>
      <c r="AL6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8" spans="1:38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tr">
        <f>IF(Table1[[#This Row],[Age]]&lt;=25,"Young",IF(Table1[[#This Row],[Age]]&lt;=35,"Early Career",IF(Table1[[#This Row],[Age]]&lt;=45,"Mid Career","Senior")))</f>
        <v>Mid Career</v>
      </c>
      <c r="AK68" t="str">
        <f>IF(Table1[[#This Row],[MonthlyIncome]]&lt;3000,"Low",IF(Table1[[#This Row],[MonthlyIncome]]&lt;7000,"Medium","High"))</f>
        <v>Medium</v>
      </c>
      <c r="AL6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69" spans="1:38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tr">
        <f>IF(Table1[[#This Row],[Age]]&lt;=25,"Young",IF(Table1[[#This Row],[Age]]&lt;=35,"Early Career",IF(Table1[[#This Row],[Age]]&lt;=45,"Mid Career","Senior")))</f>
        <v>Mid Career</v>
      </c>
      <c r="AK69" t="str">
        <f>IF(Table1[[#This Row],[MonthlyIncome]]&lt;3000,"Low",IF(Table1[[#This Row],[MonthlyIncome]]&lt;7000,"Medium","High"))</f>
        <v>High</v>
      </c>
      <c r="AL6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70" spans="1:38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tr">
        <f>IF(Table1[[#This Row],[Age]]&lt;=25,"Young",IF(Table1[[#This Row],[Age]]&lt;=35,"Early Career",IF(Table1[[#This Row],[Age]]&lt;=45,"Mid Career","Senior")))</f>
        <v>Early Career</v>
      </c>
      <c r="AK70" t="str">
        <f>IF(Table1[[#This Row],[MonthlyIncome]]&lt;3000,"Low",IF(Table1[[#This Row],[MonthlyIncome]]&lt;7000,"Medium","High"))</f>
        <v>Low</v>
      </c>
      <c r="AL7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71" spans="1:38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tr">
        <f>IF(Table1[[#This Row],[Age]]&lt;=25,"Young",IF(Table1[[#This Row],[Age]]&lt;=35,"Early Career",IF(Table1[[#This Row],[Age]]&lt;=45,"Mid Career","Senior")))</f>
        <v>Mid Career</v>
      </c>
      <c r="AK71" t="str">
        <f>IF(Table1[[#This Row],[MonthlyIncome]]&lt;3000,"Low",IF(Table1[[#This Row],[MonthlyIncome]]&lt;7000,"Medium","High"))</f>
        <v>Medium</v>
      </c>
      <c r="AL7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72" spans="1:38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tr">
        <f>IF(Table1[[#This Row],[Age]]&lt;=25,"Young",IF(Table1[[#This Row],[Age]]&lt;=35,"Early Career",IF(Table1[[#This Row],[Age]]&lt;=45,"Mid Career","Senior")))</f>
        <v>Senior</v>
      </c>
      <c r="AK72" t="str">
        <f>IF(Table1[[#This Row],[MonthlyIncome]]&lt;3000,"Low",IF(Table1[[#This Row],[MonthlyIncome]]&lt;7000,"Medium","High"))</f>
        <v>Medium</v>
      </c>
      <c r="AL7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73" spans="1:38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tr">
        <f>IF(Table1[[#This Row],[Age]]&lt;=25,"Young",IF(Table1[[#This Row],[Age]]&lt;=35,"Early Career",IF(Table1[[#This Row],[Age]]&lt;=45,"Mid Career","Senior")))</f>
        <v>Early Career</v>
      </c>
      <c r="AK73" t="str">
        <f>IF(Table1[[#This Row],[MonthlyIncome]]&lt;3000,"Low",IF(Table1[[#This Row],[MonthlyIncome]]&lt;7000,"Medium","High"))</f>
        <v>Low</v>
      </c>
      <c r="AL73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74" spans="1:38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tr">
        <f>IF(Table1[[#This Row],[Age]]&lt;=25,"Young",IF(Table1[[#This Row],[Age]]&lt;=35,"Early Career",IF(Table1[[#This Row],[Age]]&lt;=45,"Mid Career","Senior")))</f>
        <v>Early Career</v>
      </c>
      <c r="AK74" t="str">
        <f>IF(Table1[[#This Row],[MonthlyIncome]]&lt;3000,"Low",IF(Table1[[#This Row],[MonthlyIncome]]&lt;7000,"Medium","High"))</f>
        <v>Low</v>
      </c>
      <c r="AL7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75" spans="1:38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tr">
        <f>IF(Table1[[#This Row],[Age]]&lt;=25,"Young",IF(Table1[[#This Row],[Age]]&lt;=35,"Early Career",IF(Table1[[#This Row],[Age]]&lt;=45,"Mid Career","Senior")))</f>
        <v>Early Career</v>
      </c>
      <c r="AK75" t="str">
        <f>IF(Table1[[#This Row],[MonthlyIncome]]&lt;3000,"Low",IF(Table1[[#This Row],[MonthlyIncome]]&lt;7000,"Medium","High"))</f>
        <v>Medium</v>
      </c>
      <c r="AL7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76" spans="1:38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tr">
        <f>IF(Table1[[#This Row],[Age]]&lt;=25,"Young",IF(Table1[[#This Row],[Age]]&lt;=35,"Early Career",IF(Table1[[#This Row],[Age]]&lt;=45,"Mid Career","Senior")))</f>
        <v>Mid Career</v>
      </c>
      <c r="AK76" t="str">
        <f>IF(Table1[[#This Row],[MonthlyIncome]]&lt;3000,"Low",IF(Table1[[#This Row],[MonthlyIncome]]&lt;7000,"Medium","High"))</f>
        <v>Medium</v>
      </c>
      <c r="AL76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77" spans="1:38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tr">
        <f>IF(Table1[[#This Row],[Age]]&lt;=25,"Young",IF(Table1[[#This Row],[Age]]&lt;=35,"Early Career",IF(Table1[[#This Row],[Age]]&lt;=45,"Mid Career","Senior")))</f>
        <v>Early Career</v>
      </c>
      <c r="AK77" t="str">
        <f>IF(Table1[[#This Row],[MonthlyIncome]]&lt;3000,"Low",IF(Table1[[#This Row],[MonthlyIncome]]&lt;7000,"Medium","High"))</f>
        <v>Medium</v>
      </c>
      <c r="AL77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78" spans="1:38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tr">
        <f>IF(Table1[[#This Row],[Age]]&lt;=25,"Young",IF(Table1[[#This Row],[Age]]&lt;=35,"Early Career",IF(Table1[[#This Row],[Age]]&lt;=45,"Mid Career","Senior")))</f>
        <v>Early Career</v>
      </c>
      <c r="AK78" t="str">
        <f>IF(Table1[[#This Row],[MonthlyIncome]]&lt;3000,"Low",IF(Table1[[#This Row],[MonthlyIncome]]&lt;7000,"Medium","High"))</f>
        <v>Medium</v>
      </c>
      <c r="AL78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79" spans="1:38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tr">
        <f>IF(Table1[[#This Row],[Age]]&lt;=25,"Young",IF(Table1[[#This Row],[Age]]&lt;=35,"Early Career",IF(Table1[[#This Row],[Age]]&lt;=45,"Mid Career","Senior")))</f>
        <v>Mid Career</v>
      </c>
      <c r="AK79" t="str">
        <f>IF(Table1[[#This Row],[MonthlyIncome]]&lt;3000,"Low",IF(Table1[[#This Row],[MonthlyIncome]]&lt;7000,"Medium","High"))</f>
        <v>High</v>
      </c>
      <c r="AL7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80" spans="1:38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tr">
        <f>IF(Table1[[#This Row],[Age]]&lt;=25,"Young",IF(Table1[[#This Row],[Age]]&lt;=35,"Early Career",IF(Table1[[#This Row],[Age]]&lt;=45,"Mid Career","Senior")))</f>
        <v>Mid Career</v>
      </c>
      <c r="AK80" t="str">
        <f>IF(Table1[[#This Row],[MonthlyIncome]]&lt;3000,"Low",IF(Table1[[#This Row],[MonthlyIncome]]&lt;7000,"Medium","High"))</f>
        <v>High</v>
      </c>
      <c r="AL8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81" spans="1:38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tr">
        <f>IF(Table1[[#This Row],[Age]]&lt;=25,"Young",IF(Table1[[#This Row],[Age]]&lt;=35,"Early Career",IF(Table1[[#This Row],[Age]]&lt;=45,"Mid Career","Senior")))</f>
        <v>Senior</v>
      </c>
      <c r="AK81" t="str">
        <f>IF(Table1[[#This Row],[MonthlyIncome]]&lt;3000,"Low",IF(Table1[[#This Row],[MonthlyIncome]]&lt;7000,"Medium","High"))</f>
        <v>Medium</v>
      </c>
      <c r="AL8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82" spans="1:38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tr">
        <f>IF(Table1[[#This Row],[Age]]&lt;=25,"Young",IF(Table1[[#This Row],[Age]]&lt;=35,"Early Career",IF(Table1[[#This Row],[Age]]&lt;=45,"Mid Career","Senior")))</f>
        <v>Early Career</v>
      </c>
      <c r="AK82" t="str">
        <f>IF(Table1[[#This Row],[MonthlyIncome]]&lt;3000,"Low",IF(Table1[[#This Row],[MonthlyIncome]]&lt;7000,"Medium","High"))</f>
        <v>Medium</v>
      </c>
      <c r="AL8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3" spans="1:38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tr">
        <f>IF(Table1[[#This Row],[Age]]&lt;=25,"Young",IF(Table1[[#This Row],[Age]]&lt;=35,"Early Career",IF(Table1[[#This Row],[Age]]&lt;=45,"Mid Career","Senior")))</f>
        <v>Early Career</v>
      </c>
      <c r="AK83" t="str">
        <f>IF(Table1[[#This Row],[MonthlyIncome]]&lt;3000,"Low",IF(Table1[[#This Row],[MonthlyIncome]]&lt;7000,"Medium","High"))</f>
        <v>Low</v>
      </c>
      <c r="AL8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4" spans="1:38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tr">
        <f>IF(Table1[[#This Row],[Age]]&lt;=25,"Young",IF(Table1[[#This Row],[Age]]&lt;=35,"Early Career",IF(Table1[[#This Row],[Age]]&lt;=45,"Mid Career","Senior")))</f>
        <v>Senior</v>
      </c>
      <c r="AK84" t="str">
        <f>IF(Table1[[#This Row],[MonthlyIncome]]&lt;3000,"Low",IF(Table1[[#This Row],[MonthlyIncome]]&lt;7000,"Medium","High"))</f>
        <v>High</v>
      </c>
      <c r="AL8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85" spans="1:38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tr">
        <f>IF(Table1[[#This Row],[Age]]&lt;=25,"Young",IF(Table1[[#This Row],[Age]]&lt;=35,"Early Career",IF(Table1[[#This Row],[Age]]&lt;=45,"Mid Career","Senior")))</f>
        <v>Mid Career</v>
      </c>
      <c r="AK85" t="str">
        <f>IF(Table1[[#This Row],[MonthlyIncome]]&lt;3000,"Low",IF(Table1[[#This Row],[MonthlyIncome]]&lt;7000,"Medium","High"))</f>
        <v>Medium</v>
      </c>
      <c r="AL85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86" spans="1:38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tr">
        <f>IF(Table1[[#This Row],[Age]]&lt;=25,"Young",IF(Table1[[#This Row],[Age]]&lt;=35,"Early Career",IF(Table1[[#This Row],[Age]]&lt;=45,"Mid Career","Senior")))</f>
        <v>Early Career</v>
      </c>
      <c r="AK86" t="str">
        <f>IF(Table1[[#This Row],[MonthlyIncome]]&lt;3000,"Low",IF(Table1[[#This Row],[MonthlyIncome]]&lt;7000,"Medium","High"))</f>
        <v>Medium</v>
      </c>
      <c r="AL8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87" spans="1:38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tr">
        <f>IF(Table1[[#This Row],[Age]]&lt;=25,"Young",IF(Table1[[#This Row],[Age]]&lt;=35,"Early Career",IF(Table1[[#This Row],[Age]]&lt;=45,"Mid Career","Senior")))</f>
        <v>Senior</v>
      </c>
      <c r="AK87" t="str">
        <f>IF(Table1[[#This Row],[MonthlyIncome]]&lt;3000,"Low",IF(Table1[[#This Row],[MonthlyIncome]]&lt;7000,"Medium","High"))</f>
        <v>High</v>
      </c>
      <c r="AL8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8" spans="1:38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tr">
        <f>IF(Table1[[#This Row],[Age]]&lt;=25,"Young",IF(Table1[[#This Row],[Age]]&lt;=35,"Early Career",IF(Table1[[#This Row],[Age]]&lt;=45,"Mid Career","Senior")))</f>
        <v>Young</v>
      </c>
      <c r="AK88" t="str">
        <f>IF(Table1[[#This Row],[MonthlyIncome]]&lt;3000,"Low",IF(Table1[[#This Row],[MonthlyIncome]]&lt;7000,"Medium","High"))</f>
        <v>Low</v>
      </c>
      <c r="AL8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89" spans="1:38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tr">
        <f>IF(Table1[[#This Row],[Age]]&lt;=25,"Young",IF(Table1[[#This Row],[Age]]&lt;=35,"Early Career",IF(Table1[[#This Row],[Age]]&lt;=45,"Mid Career","Senior")))</f>
        <v>Senior</v>
      </c>
      <c r="AK89" t="str">
        <f>IF(Table1[[#This Row],[MonthlyIncome]]&lt;3000,"Low",IF(Table1[[#This Row],[MonthlyIncome]]&lt;7000,"Medium","High"))</f>
        <v>Low</v>
      </c>
      <c r="AL8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90" spans="1:38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tr">
        <f>IF(Table1[[#This Row],[Age]]&lt;=25,"Young",IF(Table1[[#This Row],[Age]]&lt;=35,"Early Career",IF(Table1[[#This Row],[Age]]&lt;=45,"Mid Career","Senior")))</f>
        <v>Early Career</v>
      </c>
      <c r="AK90" t="str">
        <f>IF(Table1[[#This Row],[MonthlyIncome]]&lt;3000,"Low",IF(Table1[[#This Row],[MonthlyIncome]]&lt;7000,"Medium","High"))</f>
        <v>Medium</v>
      </c>
      <c r="AL90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91" spans="1:38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tr">
        <f>IF(Table1[[#This Row],[Age]]&lt;=25,"Young",IF(Table1[[#This Row],[Age]]&lt;=35,"Early Career",IF(Table1[[#This Row],[Age]]&lt;=45,"Mid Career","Senior")))</f>
        <v>Senior</v>
      </c>
      <c r="AK91" t="str">
        <f>IF(Table1[[#This Row],[MonthlyIncome]]&lt;3000,"Low",IF(Table1[[#This Row],[MonthlyIncome]]&lt;7000,"Medium","High"))</f>
        <v>High</v>
      </c>
      <c r="AL9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2" spans="1:38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tr">
        <f>IF(Table1[[#This Row],[Age]]&lt;=25,"Young",IF(Table1[[#This Row],[Age]]&lt;=35,"Early Career",IF(Table1[[#This Row],[Age]]&lt;=45,"Mid Career","Senior")))</f>
        <v>Mid Career</v>
      </c>
      <c r="AK92" t="str">
        <f>IF(Table1[[#This Row],[MonthlyIncome]]&lt;3000,"Low",IF(Table1[[#This Row],[MonthlyIncome]]&lt;7000,"Medium","High"))</f>
        <v>High</v>
      </c>
      <c r="AL92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93" spans="1:38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tr">
        <f>IF(Table1[[#This Row],[Age]]&lt;=25,"Young",IF(Table1[[#This Row],[Age]]&lt;=35,"Early Career",IF(Table1[[#This Row],[Age]]&lt;=45,"Mid Career","Senior")))</f>
        <v>Senior</v>
      </c>
      <c r="AK93" t="str">
        <f>IF(Table1[[#This Row],[MonthlyIncome]]&lt;3000,"Low",IF(Table1[[#This Row],[MonthlyIncome]]&lt;7000,"Medium","High"))</f>
        <v>Medium</v>
      </c>
      <c r="AL9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4" spans="1:38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tr">
        <f>IF(Table1[[#This Row],[Age]]&lt;=25,"Young",IF(Table1[[#This Row],[Age]]&lt;=35,"Early Career",IF(Table1[[#This Row],[Age]]&lt;=45,"Mid Career","Senior")))</f>
        <v>Early Career</v>
      </c>
      <c r="AK94" t="str">
        <f>IF(Table1[[#This Row],[MonthlyIncome]]&lt;3000,"Low",IF(Table1[[#This Row],[MonthlyIncome]]&lt;7000,"Medium","High"))</f>
        <v>Medium</v>
      </c>
      <c r="AL94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95" spans="1:38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tr">
        <f>IF(Table1[[#This Row],[Age]]&lt;=25,"Young",IF(Table1[[#This Row],[Age]]&lt;=35,"Early Career",IF(Table1[[#This Row],[Age]]&lt;=45,"Mid Career","Senior")))</f>
        <v>Senior</v>
      </c>
      <c r="AK95" t="str">
        <f>IF(Table1[[#This Row],[MonthlyIncome]]&lt;3000,"Low",IF(Table1[[#This Row],[MonthlyIncome]]&lt;7000,"Medium","High"))</f>
        <v>High</v>
      </c>
      <c r="AL9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6" spans="1:38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tr">
        <f>IF(Table1[[#This Row],[Age]]&lt;=25,"Young",IF(Table1[[#This Row],[Age]]&lt;=35,"Early Career",IF(Table1[[#This Row],[Age]]&lt;=45,"Mid Career","Senior")))</f>
        <v>Early Career</v>
      </c>
      <c r="AK96" t="str">
        <f>IF(Table1[[#This Row],[MonthlyIncome]]&lt;3000,"Low",IF(Table1[[#This Row],[MonthlyIncome]]&lt;7000,"Medium","High"))</f>
        <v>Medium</v>
      </c>
      <c r="AL96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97" spans="1:38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tr">
        <f>IF(Table1[[#This Row],[Age]]&lt;=25,"Young",IF(Table1[[#This Row],[Age]]&lt;=35,"Early Career",IF(Table1[[#This Row],[Age]]&lt;=45,"Mid Career","Senior")))</f>
        <v>Senior</v>
      </c>
      <c r="AK97" t="str">
        <f>IF(Table1[[#This Row],[MonthlyIncome]]&lt;3000,"Low",IF(Table1[[#This Row],[MonthlyIncome]]&lt;7000,"Medium","High"))</f>
        <v>High</v>
      </c>
      <c r="AL9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98" spans="1:38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tr">
        <f>IF(Table1[[#This Row],[Age]]&lt;=25,"Young",IF(Table1[[#This Row],[Age]]&lt;=35,"Early Career",IF(Table1[[#This Row],[Age]]&lt;=45,"Mid Career","Senior")))</f>
        <v>Young</v>
      </c>
      <c r="AK98" t="str">
        <f>IF(Table1[[#This Row],[MonthlyIncome]]&lt;3000,"Low",IF(Table1[[#This Row],[MonthlyIncome]]&lt;7000,"Medium","High"))</f>
        <v>Medium</v>
      </c>
      <c r="AL9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99" spans="1:38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tr">
        <f>IF(Table1[[#This Row],[Age]]&lt;=25,"Young",IF(Table1[[#This Row],[Age]]&lt;=35,"Early Career",IF(Table1[[#This Row],[Age]]&lt;=45,"Mid Career","Senior")))</f>
        <v>Early Career</v>
      </c>
      <c r="AK99" t="str">
        <f>IF(Table1[[#This Row],[MonthlyIncome]]&lt;3000,"Low",IF(Table1[[#This Row],[MonthlyIncome]]&lt;7000,"Medium","High"))</f>
        <v>Medium</v>
      </c>
      <c r="AL9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0" spans="1:38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tr">
        <f>IF(Table1[[#This Row],[Age]]&lt;=25,"Young",IF(Table1[[#This Row],[Age]]&lt;=35,"Early Career",IF(Table1[[#This Row],[Age]]&lt;=45,"Mid Career","Senior")))</f>
        <v>Senior</v>
      </c>
      <c r="AK100" t="str">
        <f>IF(Table1[[#This Row],[MonthlyIncome]]&lt;3000,"Low",IF(Table1[[#This Row],[MonthlyIncome]]&lt;7000,"Medium","High"))</f>
        <v>High</v>
      </c>
      <c r="AL100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01" spans="1:38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tr">
        <f>IF(Table1[[#This Row],[Age]]&lt;=25,"Young",IF(Table1[[#This Row],[Age]]&lt;=35,"Early Career",IF(Table1[[#This Row],[Age]]&lt;=45,"Mid Career","Senior")))</f>
        <v>Mid Career</v>
      </c>
      <c r="AK101" t="str">
        <f>IF(Table1[[#This Row],[MonthlyIncome]]&lt;3000,"Low",IF(Table1[[#This Row],[MonthlyIncome]]&lt;7000,"Medium","High"))</f>
        <v>Low</v>
      </c>
      <c r="AL10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2" spans="1:38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tr">
        <f>IF(Table1[[#This Row],[Age]]&lt;=25,"Young",IF(Table1[[#This Row],[Age]]&lt;=35,"Early Career",IF(Table1[[#This Row],[Age]]&lt;=45,"Mid Career","Senior")))</f>
        <v>Mid Career</v>
      </c>
      <c r="AK102" t="str">
        <f>IF(Table1[[#This Row],[MonthlyIncome]]&lt;3000,"Low",IF(Table1[[#This Row],[MonthlyIncome]]&lt;7000,"Medium","High"))</f>
        <v>Low</v>
      </c>
      <c r="AL10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3" spans="1:38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tr">
        <f>IF(Table1[[#This Row],[Age]]&lt;=25,"Young",IF(Table1[[#This Row],[Age]]&lt;=35,"Early Career",IF(Table1[[#This Row],[Age]]&lt;=45,"Mid Career","Senior")))</f>
        <v>Early Career</v>
      </c>
      <c r="AK103" t="str">
        <f>IF(Table1[[#This Row],[MonthlyIncome]]&lt;3000,"Low",IF(Table1[[#This Row],[MonthlyIncome]]&lt;7000,"Medium","High"))</f>
        <v>Low</v>
      </c>
      <c r="AL10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04" spans="1:38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tr">
        <f>IF(Table1[[#This Row],[Age]]&lt;=25,"Young",IF(Table1[[#This Row],[Age]]&lt;=35,"Early Career",IF(Table1[[#This Row],[Age]]&lt;=45,"Mid Career","Senior")))</f>
        <v>Young</v>
      </c>
      <c r="AK104" t="str">
        <f>IF(Table1[[#This Row],[MonthlyIncome]]&lt;3000,"Low",IF(Table1[[#This Row],[MonthlyIncome]]&lt;7000,"Medium","High"))</f>
        <v>Low</v>
      </c>
      <c r="AL10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05" spans="1:38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tr">
        <f>IF(Table1[[#This Row],[Age]]&lt;=25,"Young",IF(Table1[[#This Row],[Age]]&lt;=35,"Early Career",IF(Table1[[#This Row],[Age]]&lt;=45,"Mid Career","Senior")))</f>
        <v>Early Career</v>
      </c>
      <c r="AK105" t="str">
        <f>IF(Table1[[#This Row],[MonthlyIncome]]&lt;3000,"Low",IF(Table1[[#This Row],[MonthlyIncome]]&lt;7000,"Medium","High"))</f>
        <v>Medium</v>
      </c>
      <c r="AL105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06" spans="1:38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tr">
        <f>IF(Table1[[#This Row],[Age]]&lt;=25,"Young",IF(Table1[[#This Row],[Age]]&lt;=35,"Early Career",IF(Table1[[#This Row],[Age]]&lt;=45,"Mid Career","Senior")))</f>
        <v>Mid Career</v>
      </c>
      <c r="AK106" t="str">
        <f>IF(Table1[[#This Row],[MonthlyIncome]]&lt;3000,"Low",IF(Table1[[#This Row],[MonthlyIncome]]&lt;7000,"Medium","High"))</f>
        <v>Medium</v>
      </c>
      <c r="AL106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07" spans="1:38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tr">
        <f>IF(Table1[[#This Row],[Age]]&lt;=25,"Young",IF(Table1[[#This Row],[Age]]&lt;=35,"Early Career",IF(Table1[[#This Row],[Age]]&lt;=45,"Mid Career","Senior")))</f>
        <v>Senior</v>
      </c>
      <c r="AK107" t="str">
        <f>IF(Table1[[#This Row],[MonthlyIncome]]&lt;3000,"Low",IF(Table1[[#This Row],[MonthlyIncome]]&lt;7000,"Medium","High"))</f>
        <v>High</v>
      </c>
      <c r="AL10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8" spans="1:38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tr">
        <f>IF(Table1[[#This Row],[Age]]&lt;=25,"Young",IF(Table1[[#This Row],[Age]]&lt;=35,"Early Career",IF(Table1[[#This Row],[Age]]&lt;=45,"Mid Career","Senior")))</f>
        <v>Senior</v>
      </c>
      <c r="AK108" t="str">
        <f>IF(Table1[[#This Row],[MonthlyIncome]]&lt;3000,"Low",IF(Table1[[#This Row],[MonthlyIncome]]&lt;7000,"Medium","High"))</f>
        <v>High</v>
      </c>
      <c r="AL10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09" spans="1:38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tr">
        <f>IF(Table1[[#This Row],[Age]]&lt;=25,"Young",IF(Table1[[#This Row],[Age]]&lt;=35,"Early Career",IF(Table1[[#This Row],[Age]]&lt;=45,"Mid Career","Senior")))</f>
        <v>Young</v>
      </c>
      <c r="AK109" t="str">
        <f>IF(Table1[[#This Row],[MonthlyIncome]]&lt;3000,"Low",IF(Table1[[#This Row],[MonthlyIncome]]&lt;7000,"Medium","High"))</f>
        <v>Medium</v>
      </c>
      <c r="AL109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0" spans="1:38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tr">
        <f>IF(Table1[[#This Row],[Age]]&lt;=25,"Young",IF(Table1[[#This Row],[Age]]&lt;=35,"Early Career",IF(Table1[[#This Row],[Age]]&lt;=45,"Mid Career","Senior")))</f>
        <v>Young</v>
      </c>
      <c r="AK110" t="str">
        <f>IF(Table1[[#This Row],[MonthlyIncome]]&lt;3000,"Low",IF(Table1[[#This Row],[MonthlyIncome]]&lt;7000,"Medium","High"))</f>
        <v>Low</v>
      </c>
      <c r="AL11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11" spans="1:38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tr">
        <f>IF(Table1[[#This Row],[Age]]&lt;=25,"Young",IF(Table1[[#This Row],[Age]]&lt;=35,"Early Career",IF(Table1[[#This Row],[Age]]&lt;=45,"Mid Career","Senior")))</f>
        <v>Young</v>
      </c>
      <c r="AK111" t="str">
        <f>IF(Table1[[#This Row],[MonthlyIncome]]&lt;3000,"Low",IF(Table1[[#This Row],[MonthlyIncome]]&lt;7000,"Medium","High"))</f>
        <v>Low</v>
      </c>
      <c r="AL11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12" spans="1:38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tr">
        <f>IF(Table1[[#This Row],[Age]]&lt;=25,"Young",IF(Table1[[#This Row],[Age]]&lt;=35,"Early Career",IF(Table1[[#This Row],[Age]]&lt;=45,"Mid Career","Senior")))</f>
        <v>Senior</v>
      </c>
      <c r="AK112" t="str">
        <f>IF(Table1[[#This Row],[MonthlyIncome]]&lt;3000,"Low",IF(Table1[[#This Row],[MonthlyIncome]]&lt;7000,"Medium","High"))</f>
        <v>High</v>
      </c>
      <c r="AL112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13" spans="1:38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tr">
        <f>IF(Table1[[#This Row],[Age]]&lt;=25,"Young",IF(Table1[[#This Row],[Age]]&lt;=35,"Early Career",IF(Table1[[#This Row],[Age]]&lt;=45,"Mid Career","Senior")))</f>
        <v>Early Career</v>
      </c>
      <c r="AK113" t="str">
        <f>IF(Table1[[#This Row],[MonthlyIncome]]&lt;3000,"Low",IF(Table1[[#This Row],[MonthlyIncome]]&lt;7000,"Medium","High"))</f>
        <v>Medium</v>
      </c>
      <c r="AL11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4" spans="1:38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tr">
        <f>IF(Table1[[#This Row],[Age]]&lt;=25,"Young",IF(Table1[[#This Row],[Age]]&lt;=35,"Early Career",IF(Table1[[#This Row],[Age]]&lt;=45,"Mid Career","Senior")))</f>
        <v>Senior</v>
      </c>
      <c r="AK114" t="str">
        <f>IF(Table1[[#This Row],[MonthlyIncome]]&lt;3000,"Low",IF(Table1[[#This Row],[MonthlyIncome]]&lt;7000,"Medium","High"))</f>
        <v>High</v>
      </c>
      <c r="AL11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5" spans="1:38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tr">
        <f>IF(Table1[[#This Row],[Age]]&lt;=25,"Young",IF(Table1[[#This Row],[Age]]&lt;=35,"Early Career",IF(Table1[[#This Row],[Age]]&lt;=45,"Mid Career","Senior")))</f>
        <v>Young</v>
      </c>
      <c r="AK115" t="str">
        <f>IF(Table1[[#This Row],[MonthlyIncome]]&lt;3000,"Low",IF(Table1[[#This Row],[MonthlyIncome]]&lt;7000,"Medium","High"))</f>
        <v>Low</v>
      </c>
      <c r="AL11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6" spans="1:38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tr">
        <f>IF(Table1[[#This Row],[Age]]&lt;=25,"Young",IF(Table1[[#This Row],[Age]]&lt;=35,"Early Career",IF(Table1[[#This Row],[Age]]&lt;=45,"Mid Career","Senior")))</f>
        <v>Early Career</v>
      </c>
      <c r="AK116" t="str">
        <f>IF(Table1[[#This Row],[MonthlyIncome]]&lt;3000,"Low",IF(Table1[[#This Row],[MonthlyIncome]]&lt;7000,"Medium","High"))</f>
        <v>Medium</v>
      </c>
      <c r="AL116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17" spans="1:38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tr">
        <f>IF(Table1[[#This Row],[Age]]&lt;=25,"Young",IF(Table1[[#This Row],[Age]]&lt;=35,"Early Career",IF(Table1[[#This Row],[Age]]&lt;=45,"Mid Career","Senior")))</f>
        <v>Mid Career</v>
      </c>
      <c r="AK117" t="str">
        <f>IF(Table1[[#This Row],[MonthlyIncome]]&lt;3000,"Low",IF(Table1[[#This Row],[MonthlyIncome]]&lt;7000,"Medium","High"))</f>
        <v>High</v>
      </c>
      <c r="AL11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8" spans="1:38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tr">
        <f>IF(Table1[[#This Row],[Age]]&lt;=25,"Young",IF(Table1[[#This Row],[Age]]&lt;=35,"Early Career",IF(Table1[[#This Row],[Age]]&lt;=45,"Mid Career","Senior")))</f>
        <v>Early Career</v>
      </c>
      <c r="AK118" t="str">
        <f>IF(Table1[[#This Row],[MonthlyIncome]]&lt;3000,"Low",IF(Table1[[#This Row],[MonthlyIncome]]&lt;7000,"Medium","High"))</f>
        <v>High</v>
      </c>
      <c r="AL118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19" spans="1:38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tr">
        <f>IF(Table1[[#This Row],[Age]]&lt;=25,"Young",IF(Table1[[#This Row],[Age]]&lt;=35,"Early Career",IF(Table1[[#This Row],[Age]]&lt;=45,"Mid Career","Senior")))</f>
        <v>Mid Career</v>
      </c>
      <c r="AK119" t="str">
        <f>IF(Table1[[#This Row],[MonthlyIncome]]&lt;3000,"Low",IF(Table1[[#This Row],[MonthlyIncome]]&lt;7000,"Medium","High"))</f>
        <v>High</v>
      </c>
      <c r="AL119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0" spans="1:38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tr">
        <f>IF(Table1[[#This Row],[Age]]&lt;=25,"Young",IF(Table1[[#This Row],[Age]]&lt;=35,"Early Career",IF(Table1[[#This Row],[Age]]&lt;=45,"Mid Career","Senior")))</f>
        <v>Mid Career</v>
      </c>
      <c r="AK120" t="str">
        <f>IF(Table1[[#This Row],[MonthlyIncome]]&lt;3000,"Low",IF(Table1[[#This Row],[MonthlyIncome]]&lt;7000,"Medium","High"))</f>
        <v>Low</v>
      </c>
      <c r="AL12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21" spans="1:38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tr">
        <f>IF(Table1[[#This Row],[Age]]&lt;=25,"Young",IF(Table1[[#This Row],[Age]]&lt;=35,"Early Career",IF(Table1[[#This Row],[Age]]&lt;=45,"Mid Career","Senior")))</f>
        <v>Mid Career</v>
      </c>
      <c r="AK121" t="str">
        <f>IF(Table1[[#This Row],[MonthlyIncome]]&lt;3000,"Low",IF(Table1[[#This Row],[MonthlyIncome]]&lt;7000,"Medium","High"))</f>
        <v>High</v>
      </c>
      <c r="AL121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22" spans="1:38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tr">
        <f>IF(Table1[[#This Row],[Age]]&lt;=25,"Young",IF(Table1[[#This Row],[Age]]&lt;=35,"Early Career",IF(Table1[[#This Row],[Age]]&lt;=45,"Mid Career","Senior")))</f>
        <v>Early Career</v>
      </c>
      <c r="AK122" t="str">
        <f>IF(Table1[[#This Row],[MonthlyIncome]]&lt;3000,"Low",IF(Table1[[#This Row],[MonthlyIncome]]&lt;7000,"Medium","High"))</f>
        <v>Low</v>
      </c>
      <c r="AL12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3" spans="1:38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tr">
        <f>IF(Table1[[#This Row],[Age]]&lt;=25,"Young",IF(Table1[[#This Row],[Age]]&lt;=35,"Early Career",IF(Table1[[#This Row],[Age]]&lt;=45,"Mid Career","Senior")))</f>
        <v>Early Career</v>
      </c>
      <c r="AK123" t="str">
        <f>IF(Table1[[#This Row],[MonthlyIncome]]&lt;3000,"Low",IF(Table1[[#This Row],[MonthlyIncome]]&lt;7000,"Medium","High"))</f>
        <v>Medium</v>
      </c>
      <c r="AL12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4" spans="1:38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tr">
        <f>IF(Table1[[#This Row],[Age]]&lt;=25,"Young",IF(Table1[[#This Row],[Age]]&lt;=35,"Early Career",IF(Table1[[#This Row],[Age]]&lt;=45,"Mid Career","Senior")))</f>
        <v>Senior</v>
      </c>
      <c r="AK124" t="str">
        <f>IF(Table1[[#This Row],[MonthlyIncome]]&lt;3000,"Low",IF(Table1[[#This Row],[MonthlyIncome]]&lt;7000,"Medium","High"))</f>
        <v>Medium</v>
      </c>
      <c r="AL12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5" spans="1:38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tr">
        <f>IF(Table1[[#This Row],[Age]]&lt;=25,"Young",IF(Table1[[#This Row],[Age]]&lt;=35,"Early Career",IF(Table1[[#This Row],[Age]]&lt;=45,"Mid Career","Senior")))</f>
        <v>Senior</v>
      </c>
      <c r="AK125" t="str">
        <f>IF(Table1[[#This Row],[MonthlyIncome]]&lt;3000,"Low",IF(Table1[[#This Row],[MonthlyIncome]]&lt;7000,"Medium","High"))</f>
        <v>High</v>
      </c>
      <c r="AL125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26" spans="1:38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tr">
        <f>IF(Table1[[#This Row],[Age]]&lt;=25,"Young",IF(Table1[[#This Row],[Age]]&lt;=35,"Early Career",IF(Table1[[#This Row],[Age]]&lt;=45,"Mid Career","Senior")))</f>
        <v>Early Career</v>
      </c>
      <c r="AK126" t="str">
        <f>IF(Table1[[#This Row],[MonthlyIncome]]&lt;3000,"Low",IF(Table1[[#This Row],[MonthlyIncome]]&lt;7000,"Medium","High"))</f>
        <v>Medium</v>
      </c>
      <c r="AL12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7" spans="1:38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tr">
        <f>IF(Table1[[#This Row],[Age]]&lt;=25,"Young",IF(Table1[[#This Row],[Age]]&lt;=35,"Early Career",IF(Table1[[#This Row],[Age]]&lt;=45,"Mid Career","Senior")))</f>
        <v>Early Career</v>
      </c>
      <c r="AK127" t="str">
        <f>IF(Table1[[#This Row],[MonthlyIncome]]&lt;3000,"Low",IF(Table1[[#This Row],[MonthlyIncome]]&lt;7000,"Medium","High"))</f>
        <v>Low</v>
      </c>
      <c r="AL12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8" spans="1:38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tr">
        <f>IF(Table1[[#This Row],[Age]]&lt;=25,"Young",IF(Table1[[#This Row],[Age]]&lt;=35,"Early Career",IF(Table1[[#This Row],[Age]]&lt;=45,"Mid Career","Senior")))</f>
        <v>Senior</v>
      </c>
      <c r="AK128" t="str">
        <f>IF(Table1[[#This Row],[MonthlyIncome]]&lt;3000,"Low",IF(Table1[[#This Row],[MonthlyIncome]]&lt;7000,"Medium","High"))</f>
        <v>High</v>
      </c>
      <c r="AL128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29" spans="1:38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tr">
        <f>IF(Table1[[#This Row],[Age]]&lt;=25,"Young",IF(Table1[[#This Row],[Age]]&lt;=35,"Early Career",IF(Table1[[#This Row],[Age]]&lt;=45,"Mid Career","Senior")))</f>
        <v>Young</v>
      </c>
      <c r="AK129" t="str">
        <f>IF(Table1[[#This Row],[MonthlyIncome]]&lt;3000,"Low",IF(Table1[[#This Row],[MonthlyIncome]]&lt;7000,"Medium","High"))</f>
        <v>Low</v>
      </c>
      <c r="AL12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30" spans="1:38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tr">
        <f>IF(Table1[[#This Row],[Age]]&lt;=25,"Young",IF(Table1[[#This Row],[Age]]&lt;=35,"Early Career",IF(Table1[[#This Row],[Age]]&lt;=45,"Mid Career","Senior")))</f>
        <v>Young</v>
      </c>
      <c r="AK130" t="str">
        <f>IF(Table1[[#This Row],[MonthlyIncome]]&lt;3000,"Low",IF(Table1[[#This Row],[MonthlyIncome]]&lt;7000,"Medium","High"))</f>
        <v>Low</v>
      </c>
      <c r="AL13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31" spans="1:38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tr">
        <f>IF(Table1[[#This Row],[Age]]&lt;=25,"Young",IF(Table1[[#This Row],[Age]]&lt;=35,"Early Career",IF(Table1[[#This Row],[Age]]&lt;=45,"Mid Career","Senior")))</f>
        <v>Senior</v>
      </c>
      <c r="AK131" t="str">
        <f>IF(Table1[[#This Row],[MonthlyIncome]]&lt;3000,"Low",IF(Table1[[#This Row],[MonthlyIncome]]&lt;7000,"Medium","High"))</f>
        <v>Medium</v>
      </c>
      <c r="AL131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32" spans="1:38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tr">
        <f>IF(Table1[[#This Row],[Age]]&lt;=25,"Young",IF(Table1[[#This Row],[Age]]&lt;=35,"Early Career",IF(Table1[[#This Row],[Age]]&lt;=45,"Mid Career","Senior")))</f>
        <v>Mid Career</v>
      </c>
      <c r="AK132" t="str">
        <f>IF(Table1[[#This Row],[MonthlyIncome]]&lt;3000,"Low",IF(Table1[[#This Row],[MonthlyIncome]]&lt;7000,"Medium","High"))</f>
        <v>Medium</v>
      </c>
      <c r="AL13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3" spans="1:38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tr">
        <f>IF(Table1[[#This Row],[Age]]&lt;=25,"Young",IF(Table1[[#This Row],[Age]]&lt;=35,"Early Career",IF(Table1[[#This Row],[Age]]&lt;=45,"Mid Career","Senior")))</f>
        <v>Senior</v>
      </c>
      <c r="AK133" t="str">
        <f>IF(Table1[[#This Row],[MonthlyIncome]]&lt;3000,"Low",IF(Table1[[#This Row],[MonthlyIncome]]&lt;7000,"Medium","High"))</f>
        <v>High</v>
      </c>
      <c r="AL13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34" spans="1:38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tr">
        <f>IF(Table1[[#This Row],[Age]]&lt;=25,"Young",IF(Table1[[#This Row],[Age]]&lt;=35,"Early Career",IF(Table1[[#This Row],[Age]]&lt;=45,"Mid Career","Senior")))</f>
        <v>Early Career</v>
      </c>
      <c r="AK134" t="str">
        <f>IF(Table1[[#This Row],[MonthlyIncome]]&lt;3000,"Low",IF(Table1[[#This Row],[MonthlyIncome]]&lt;7000,"Medium","High"))</f>
        <v>Medium</v>
      </c>
      <c r="AL13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35" spans="1:38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tr">
        <f>IF(Table1[[#This Row],[Age]]&lt;=25,"Young",IF(Table1[[#This Row],[Age]]&lt;=35,"Early Career",IF(Table1[[#This Row],[Age]]&lt;=45,"Mid Career","Senior")))</f>
        <v>Mid Career</v>
      </c>
      <c r="AK135" t="str">
        <f>IF(Table1[[#This Row],[MonthlyIncome]]&lt;3000,"Low",IF(Table1[[#This Row],[MonthlyIncome]]&lt;7000,"Medium","High"))</f>
        <v>High</v>
      </c>
      <c r="AL13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36" spans="1:38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tr">
        <f>IF(Table1[[#This Row],[Age]]&lt;=25,"Young",IF(Table1[[#This Row],[Age]]&lt;=35,"Early Career",IF(Table1[[#This Row],[Age]]&lt;=45,"Mid Career","Senior")))</f>
        <v>Early Career</v>
      </c>
      <c r="AK136" t="str">
        <f>IF(Table1[[#This Row],[MonthlyIncome]]&lt;3000,"Low",IF(Table1[[#This Row],[MonthlyIncome]]&lt;7000,"Medium","High"))</f>
        <v>Low</v>
      </c>
      <c r="AL13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37" spans="1:38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tr">
        <f>IF(Table1[[#This Row],[Age]]&lt;=25,"Young",IF(Table1[[#This Row],[Age]]&lt;=35,"Early Career",IF(Table1[[#This Row],[Age]]&lt;=45,"Mid Career","Senior")))</f>
        <v>Mid Career</v>
      </c>
      <c r="AK137" t="str">
        <f>IF(Table1[[#This Row],[MonthlyIncome]]&lt;3000,"Low",IF(Table1[[#This Row],[MonthlyIncome]]&lt;7000,"Medium","High"))</f>
        <v>Medium</v>
      </c>
      <c r="AL13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8" spans="1:38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tr">
        <f>IF(Table1[[#This Row],[Age]]&lt;=25,"Young",IF(Table1[[#This Row],[Age]]&lt;=35,"Early Career",IF(Table1[[#This Row],[Age]]&lt;=45,"Mid Career","Senior")))</f>
        <v>Senior</v>
      </c>
      <c r="AK138" t="str">
        <f>IF(Table1[[#This Row],[MonthlyIncome]]&lt;3000,"Low",IF(Table1[[#This Row],[MonthlyIncome]]&lt;7000,"Medium","High"))</f>
        <v>High</v>
      </c>
      <c r="AL13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9" spans="1:38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tr">
        <f>IF(Table1[[#This Row],[Age]]&lt;=25,"Young",IF(Table1[[#This Row],[Age]]&lt;=35,"Early Career",IF(Table1[[#This Row],[Age]]&lt;=45,"Mid Career","Senior")))</f>
        <v>Mid Career</v>
      </c>
      <c r="AK139" t="str">
        <f>IF(Table1[[#This Row],[MonthlyIncome]]&lt;3000,"Low",IF(Table1[[#This Row],[MonthlyIncome]]&lt;7000,"Medium","High"))</f>
        <v>Medium</v>
      </c>
      <c r="AL139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40" spans="1:38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tr">
        <f>IF(Table1[[#This Row],[Age]]&lt;=25,"Young",IF(Table1[[#This Row],[Age]]&lt;=35,"Early Career",IF(Table1[[#This Row],[Age]]&lt;=45,"Mid Career","Senior")))</f>
        <v>Young</v>
      </c>
      <c r="AK140" t="str">
        <f>IF(Table1[[#This Row],[MonthlyIncome]]&lt;3000,"Low",IF(Table1[[#This Row],[MonthlyIncome]]&lt;7000,"Medium","High"))</f>
        <v>High</v>
      </c>
      <c r="AL14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41" spans="1:38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tr">
        <f>IF(Table1[[#This Row],[Age]]&lt;=25,"Young",IF(Table1[[#This Row],[Age]]&lt;=35,"Early Career",IF(Table1[[#This Row],[Age]]&lt;=45,"Mid Career","Senior")))</f>
        <v>Early Career</v>
      </c>
      <c r="AK141" t="str">
        <f>IF(Table1[[#This Row],[MonthlyIncome]]&lt;3000,"Low",IF(Table1[[#This Row],[MonthlyIncome]]&lt;7000,"Medium","High"))</f>
        <v>Medium</v>
      </c>
      <c r="AL141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42" spans="1:38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tr">
        <f>IF(Table1[[#This Row],[Age]]&lt;=25,"Young",IF(Table1[[#This Row],[Age]]&lt;=35,"Early Career",IF(Table1[[#This Row],[Age]]&lt;=45,"Mid Career","Senior")))</f>
        <v>Early Career</v>
      </c>
      <c r="AK142" t="str">
        <f>IF(Table1[[#This Row],[MonthlyIncome]]&lt;3000,"Low",IF(Table1[[#This Row],[MonthlyIncome]]&lt;7000,"Medium","High"))</f>
        <v>Medium</v>
      </c>
      <c r="AL14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43" spans="1:38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tr">
        <f>IF(Table1[[#This Row],[Age]]&lt;=25,"Young",IF(Table1[[#This Row],[Age]]&lt;=35,"Early Career",IF(Table1[[#This Row],[Age]]&lt;=45,"Mid Career","Senior")))</f>
        <v>Mid Career</v>
      </c>
      <c r="AK143" t="str">
        <f>IF(Table1[[#This Row],[MonthlyIncome]]&lt;3000,"Low",IF(Table1[[#This Row],[MonthlyIncome]]&lt;7000,"Medium","High"))</f>
        <v>Medium</v>
      </c>
      <c r="AL14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44" spans="1:38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tr">
        <f>IF(Table1[[#This Row],[Age]]&lt;=25,"Young",IF(Table1[[#This Row],[Age]]&lt;=35,"Early Career",IF(Table1[[#This Row],[Age]]&lt;=45,"Mid Career","Senior")))</f>
        <v>Mid Career</v>
      </c>
      <c r="AK144" t="str">
        <f>IF(Table1[[#This Row],[MonthlyIncome]]&lt;3000,"Low",IF(Table1[[#This Row],[MonthlyIncome]]&lt;7000,"Medium","High"))</f>
        <v>Medium</v>
      </c>
      <c r="AL14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45" spans="1:38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tr">
        <f>IF(Table1[[#This Row],[Age]]&lt;=25,"Young",IF(Table1[[#This Row],[Age]]&lt;=35,"Early Career",IF(Table1[[#This Row],[Age]]&lt;=45,"Mid Career","Senior")))</f>
        <v>Early Career</v>
      </c>
      <c r="AK145" t="str">
        <f>IF(Table1[[#This Row],[MonthlyIncome]]&lt;3000,"Low",IF(Table1[[#This Row],[MonthlyIncome]]&lt;7000,"Medium","High"))</f>
        <v>Low</v>
      </c>
      <c r="AL14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46" spans="1:38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tr">
        <f>IF(Table1[[#This Row],[Age]]&lt;=25,"Young",IF(Table1[[#This Row],[Age]]&lt;=35,"Early Career",IF(Table1[[#This Row],[Age]]&lt;=45,"Mid Career","Senior")))</f>
        <v>Early Career</v>
      </c>
      <c r="AK146" t="str">
        <f>IF(Table1[[#This Row],[MonthlyIncome]]&lt;3000,"Low",IF(Table1[[#This Row],[MonthlyIncome]]&lt;7000,"Medium","High"))</f>
        <v>Medium</v>
      </c>
      <c r="AL14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47" spans="1:38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tr">
        <f>IF(Table1[[#This Row],[Age]]&lt;=25,"Young",IF(Table1[[#This Row],[Age]]&lt;=35,"Early Career",IF(Table1[[#This Row],[Age]]&lt;=45,"Mid Career","Senior")))</f>
        <v>Early Career</v>
      </c>
      <c r="AK147" t="str">
        <f>IF(Table1[[#This Row],[MonthlyIncome]]&lt;3000,"Low",IF(Table1[[#This Row],[MonthlyIncome]]&lt;7000,"Medium","High"))</f>
        <v>Medium</v>
      </c>
      <c r="AL14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48" spans="1:38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tr">
        <f>IF(Table1[[#This Row],[Age]]&lt;=25,"Young",IF(Table1[[#This Row],[Age]]&lt;=35,"Early Career",IF(Table1[[#This Row],[Age]]&lt;=45,"Mid Career","Senior")))</f>
        <v>Early Career</v>
      </c>
      <c r="AK148" t="str">
        <f>IF(Table1[[#This Row],[MonthlyIncome]]&lt;3000,"Low",IF(Table1[[#This Row],[MonthlyIncome]]&lt;7000,"Medium","High"))</f>
        <v>Low</v>
      </c>
      <c r="AL14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49" spans="1:38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tr">
        <f>IF(Table1[[#This Row],[Age]]&lt;=25,"Young",IF(Table1[[#This Row],[Age]]&lt;=35,"Early Career",IF(Table1[[#This Row],[Age]]&lt;=45,"Mid Career","Senior")))</f>
        <v>Mid Career</v>
      </c>
      <c r="AK149" t="str">
        <f>IF(Table1[[#This Row],[MonthlyIncome]]&lt;3000,"Low",IF(Table1[[#This Row],[MonthlyIncome]]&lt;7000,"Medium","High"))</f>
        <v>High</v>
      </c>
      <c r="AL149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50" spans="1:38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tr">
        <f>IF(Table1[[#This Row],[Age]]&lt;=25,"Young",IF(Table1[[#This Row],[Age]]&lt;=35,"Early Career",IF(Table1[[#This Row],[Age]]&lt;=45,"Mid Career","Senior")))</f>
        <v>Mid Career</v>
      </c>
      <c r="AK150" t="str">
        <f>IF(Table1[[#This Row],[MonthlyIncome]]&lt;3000,"Low",IF(Table1[[#This Row],[MonthlyIncome]]&lt;7000,"Medium","High"))</f>
        <v>Low</v>
      </c>
      <c r="AL15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51" spans="1:38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tr">
        <f>IF(Table1[[#This Row],[Age]]&lt;=25,"Young",IF(Table1[[#This Row],[Age]]&lt;=35,"Early Career",IF(Table1[[#This Row],[Age]]&lt;=45,"Mid Career","Senior")))</f>
        <v>Young</v>
      </c>
      <c r="AK151" t="str">
        <f>IF(Table1[[#This Row],[MonthlyIncome]]&lt;3000,"Low",IF(Table1[[#This Row],[MonthlyIncome]]&lt;7000,"Medium","High"))</f>
        <v>Low</v>
      </c>
      <c r="AL15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52" spans="1:38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tr">
        <f>IF(Table1[[#This Row],[Age]]&lt;=25,"Young",IF(Table1[[#This Row],[Age]]&lt;=35,"Early Career",IF(Table1[[#This Row],[Age]]&lt;=45,"Mid Career","Senior")))</f>
        <v>Mid Career</v>
      </c>
      <c r="AK152" t="str">
        <f>IF(Table1[[#This Row],[MonthlyIncome]]&lt;3000,"Low",IF(Table1[[#This Row],[MonthlyIncome]]&lt;7000,"Medium","High"))</f>
        <v>Medium</v>
      </c>
      <c r="AL152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53" spans="1:38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tr">
        <f>IF(Table1[[#This Row],[Age]]&lt;=25,"Young",IF(Table1[[#This Row],[Age]]&lt;=35,"Early Career",IF(Table1[[#This Row],[Age]]&lt;=45,"Mid Career","Senior")))</f>
        <v>Early Career</v>
      </c>
      <c r="AK153" t="str">
        <f>IF(Table1[[#This Row],[MonthlyIncome]]&lt;3000,"Low",IF(Table1[[#This Row],[MonthlyIncome]]&lt;7000,"Medium","High"))</f>
        <v>High</v>
      </c>
      <c r="AL15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54" spans="1:38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tr">
        <f>IF(Table1[[#This Row],[Age]]&lt;=25,"Young",IF(Table1[[#This Row],[Age]]&lt;=35,"Early Career",IF(Table1[[#This Row],[Age]]&lt;=45,"Mid Career","Senior")))</f>
        <v>Senior</v>
      </c>
      <c r="AK154" t="str">
        <f>IF(Table1[[#This Row],[MonthlyIncome]]&lt;3000,"Low",IF(Table1[[#This Row],[MonthlyIncome]]&lt;7000,"Medium","High"))</f>
        <v>Low</v>
      </c>
      <c r="AL15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55" spans="1:38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tr">
        <f>IF(Table1[[#This Row],[Age]]&lt;=25,"Young",IF(Table1[[#This Row],[Age]]&lt;=35,"Early Career",IF(Table1[[#This Row],[Age]]&lt;=45,"Mid Career","Senior")))</f>
        <v>Mid Career</v>
      </c>
      <c r="AK155" t="str">
        <f>IF(Table1[[#This Row],[MonthlyIncome]]&lt;3000,"Low",IF(Table1[[#This Row],[MonthlyIncome]]&lt;7000,"Medium","High"))</f>
        <v>Low</v>
      </c>
      <c r="AL155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56" spans="1:38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tr">
        <f>IF(Table1[[#This Row],[Age]]&lt;=25,"Young",IF(Table1[[#This Row],[Age]]&lt;=35,"Early Career",IF(Table1[[#This Row],[Age]]&lt;=45,"Mid Career","Senior")))</f>
        <v>Early Career</v>
      </c>
      <c r="AK156" t="str">
        <f>IF(Table1[[#This Row],[MonthlyIncome]]&lt;3000,"Low",IF(Table1[[#This Row],[MonthlyIncome]]&lt;7000,"Medium","High"))</f>
        <v>High</v>
      </c>
      <c r="AL15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57" spans="1:38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tr">
        <f>IF(Table1[[#This Row],[Age]]&lt;=25,"Young",IF(Table1[[#This Row],[Age]]&lt;=35,"Early Career",IF(Table1[[#This Row],[Age]]&lt;=45,"Mid Career","Senior")))</f>
        <v>Early Career</v>
      </c>
      <c r="AK157" t="str">
        <f>IF(Table1[[#This Row],[MonthlyIncome]]&lt;3000,"Low",IF(Table1[[#This Row],[MonthlyIncome]]&lt;7000,"Medium","High"))</f>
        <v>Medium</v>
      </c>
      <c r="AL15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58" spans="1:38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tr">
        <f>IF(Table1[[#This Row],[Age]]&lt;=25,"Young",IF(Table1[[#This Row],[Age]]&lt;=35,"Early Career",IF(Table1[[#This Row],[Age]]&lt;=45,"Mid Career","Senior")))</f>
        <v>Senior</v>
      </c>
      <c r="AK158" t="str">
        <f>IF(Table1[[#This Row],[MonthlyIncome]]&lt;3000,"Low",IF(Table1[[#This Row],[MonthlyIncome]]&lt;7000,"Medium","High"))</f>
        <v>Medium</v>
      </c>
      <c r="AL15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59" spans="1:38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tr">
        <f>IF(Table1[[#This Row],[Age]]&lt;=25,"Young",IF(Table1[[#This Row],[Age]]&lt;=35,"Early Career",IF(Table1[[#This Row],[Age]]&lt;=45,"Mid Career","Senior")))</f>
        <v>Senior</v>
      </c>
      <c r="AK159" t="str">
        <f>IF(Table1[[#This Row],[MonthlyIncome]]&lt;3000,"Low",IF(Table1[[#This Row],[MonthlyIncome]]&lt;7000,"Medium","High"))</f>
        <v>Medium</v>
      </c>
      <c r="AL15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60" spans="1:38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tr">
        <f>IF(Table1[[#This Row],[Age]]&lt;=25,"Young",IF(Table1[[#This Row],[Age]]&lt;=35,"Early Career",IF(Table1[[#This Row],[Age]]&lt;=45,"Mid Career","Senior")))</f>
        <v>Mid Career</v>
      </c>
      <c r="AK160" t="str">
        <f>IF(Table1[[#This Row],[MonthlyIncome]]&lt;3000,"Low",IF(Table1[[#This Row],[MonthlyIncome]]&lt;7000,"Medium","High"))</f>
        <v>High</v>
      </c>
      <c r="AL160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61" spans="1:38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tr">
        <f>IF(Table1[[#This Row],[Age]]&lt;=25,"Young",IF(Table1[[#This Row],[Age]]&lt;=35,"Early Career",IF(Table1[[#This Row],[Age]]&lt;=45,"Mid Career","Senior")))</f>
        <v>Early Career</v>
      </c>
      <c r="AK161" t="str">
        <f>IF(Table1[[#This Row],[MonthlyIncome]]&lt;3000,"Low",IF(Table1[[#This Row],[MonthlyIncome]]&lt;7000,"Medium","High"))</f>
        <v>Low</v>
      </c>
      <c r="AL16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62" spans="1:38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tr">
        <f>IF(Table1[[#This Row],[Age]]&lt;=25,"Young",IF(Table1[[#This Row],[Age]]&lt;=35,"Early Career",IF(Table1[[#This Row],[Age]]&lt;=45,"Mid Career","Senior")))</f>
        <v>Young</v>
      </c>
      <c r="AK162" t="str">
        <f>IF(Table1[[#This Row],[MonthlyIncome]]&lt;3000,"Low",IF(Table1[[#This Row],[MonthlyIncome]]&lt;7000,"Medium","High"))</f>
        <v>Low</v>
      </c>
      <c r="AL16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63" spans="1:38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tr">
        <f>IF(Table1[[#This Row],[Age]]&lt;=25,"Young",IF(Table1[[#This Row],[Age]]&lt;=35,"Early Career",IF(Table1[[#This Row],[Age]]&lt;=45,"Mid Career","Senior")))</f>
        <v>Early Career</v>
      </c>
      <c r="AK163" t="str">
        <f>IF(Table1[[#This Row],[MonthlyIncome]]&lt;3000,"Low",IF(Table1[[#This Row],[MonthlyIncome]]&lt;7000,"Medium","High"))</f>
        <v>Low</v>
      </c>
      <c r="AL16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64" spans="1:38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tr">
        <f>IF(Table1[[#This Row],[Age]]&lt;=25,"Young",IF(Table1[[#This Row],[Age]]&lt;=35,"Early Career",IF(Table1[[#This Row],[Age]]&lt;=45,"Mid Career","Senior")))</f>
        <v>Early Career</v>
      </c>
      <c r="AK164" t="str">
        <f>IF(Table1[[#This Row],[MonthlyIncome]]&lt;3000,"Low",IF(Table1[[#This Row],[MonthlyIncome]]&lt;7000,"Medium","High"))</f>
        <v>Low</v>
      </c>
      <c r="AL16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65" spans="1:38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tr">
        <f>IF(Table1[[#This Row],[Age]]&lt;=25,"Young",IF(Table1[[#This Row],[Age]]&lt;=35,"Early Career",IF(Table1[[#This Row],[Age]]&lt;=45,"Mid Career","Senior")))</f>
        <v>Senior</v>
      </c>
      <c r="AK165" t="str">
        <f>IF(Table1[[#This Row],[MonthlyIncome]]&lt;3000,"Low",IF(Table1[[#This Row],[MonthlyIncome]]&lt;7000,"Medium","High"))</f>
        <v>High</v>
      </c>
      <c r="AL16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66" spans="1:38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tr">
        <f>IF(Table1[[#This Row],[Age]]&lt;=25,"Young",IF(Table1[[#This Row],[Age]]&lt;=35,"Early Career",IF(Table1[[#This Row],[Age]]&lt;=45,"Mid Career","Senior")))</f>
        <v>Early Career</v>
      </c>
      <c r="AK166" t="str">
        <f>IF(Table1[[#This Row],[MonthlyIncome]]&lt;3000,"Low",IF(Table1[[#This Row],[MonthlyIncome]]&lt;7000,"Medium","High"))</f>
        <v>Low</v>
      </c>
      <c r="AL166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67" spans="1:38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tr">
        <f>IF(Table1[[#This Row],[Age]]&lt;=25,"Young",IF(Table1[[#This Row],[Age]]&lt;=35,"Early Career",IF(Table1[[#This Row],[Age]]&lt;=45,"Mid Career","Senior")))</f>
        <v>Senior</v>
      </c>
      <c r="AK167" t="str">
        <f>IF(Table1[[#This Row],[MonthlyIncome]]&lt;3000,"Low",IF(Table1[[#This Row],[MonthlyIncome]]&lt;7000,"Medium","High"))</f>
        <v>High</v>
      </c>
      <c r="AL16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68" spans="1:38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tr">
        <f>IF(Table1[[#This Row],[Age]]&lt;=25,"Young",IF(Table1[[#This Row],[Age]]&lt;=35,"Early Career",IF(Table1[[#This Row],[Age]]&lt;=45,"Mid Career","Senior")))</f>
        <v>Mid Career</v>
      </c>
      <c r="AK168" t="str">
        <f>IF(Table1[[#This Row],[MonthlyIncome]]&lt;3000,"Low",IF(Table1[[#This Row],[MonthlyIncome]]&lt;7000,"Medium","High"))</f>
        <v>Low</v>
      </c>
      <c r="AL16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69" spans="1:38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tr">
        <f>IF(Table1[[#This Row],[Age]]&lt;=25,"Young",IF(Table1[[#This Row],[Age]]&lt;=35,"Early Career",IF(Table1[[#This Row],[Age]]&lt;=45,"Mid Career","Senior")))</f>
        <v>Early Career</v>
      </c>
      <c r="AK169" t="str">
        <f>IF(Table1[[#This Row],[MonthlyIncome]]&lt;3000,"Low",IF(Table1[[#This Row],[MonthlyIncome]]&lt;7000,"Medium","High"))</f>
        <v>High</v>
      </c>
      <c r="AL169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70" spans="1:38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tr">
        <f>IF(Table1[[#This Row],[Age]]&lt;=25,"Young",IF(Table1[[#This Row],[Age]]&lt;=35,"Early Career",IF(Table1[[#This Row],[Age]]&lt;=45,"Mid Career","Senior")))</f>
        <v>Mid Career</v>
      </c>
      <c r="AK170" t="str">
        <f>IF(Table1[[#This Row],[MonthlyIncome]]&lt;3000,"Low",IF(Table1[[#This Row],[MonthlyIncome]]&lt;7000,"Medium","High"))</f>
        <v>High</v>
      </c>
      <c r="AL17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71" spans="1:38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tr">
        <f>IF(Table1[[#This Row],[Age]]&lt;=25,"Young",IF(Table1[[#This Row],[Age]]&lt;=35,"Early Career",IF(Table1[[#This Row],[Age]]&lt;=45,"Mid Career","Senior")))</f>
        <v>Early Career</v>
      </c>
      <c r="AK171" t="str">
        <f>IF(Table1[[#This Row],[MonthlyIncome]]&lt;3000,"Low",IF(Table1[[#This Row],[MonthlyIncome]]&lt;7000,"Medium","High"))</f>
        <v>Medium</v>
      </c>
      <c r="AL17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72" spans="1:38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tr">
        <f>IF(Table1[[#This Row],[Age]]&lt;=25,"Young",IF(Table1[[#This Row],[Age]]&lt;=35,"Early Career",IF(Table1[[#This Row],[Age]]&lt;=45,"Mid Career","Senior")))</f>
        <v>Early Career</v>
      </c>
      <c r="AK172" t="str">
        <f>IF(Table1[[#This Row],[MonthlyIncome]]&lt;3000,"Low",IF(Table1[[#This Row],[MonthlyIncome]]&lt;7000,"Medium","High"))</f>
        <v>Medium</v>
      </c>
      <c r="AL17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73" spans="1:38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tr">
        <f>IF(Table1[[#This Row],[Age]]&lt;=25,"Young",IF(Table1[[#This Row],[Age]]&lt;=35,"Early Career",IF(Table1[[#This Row],[Age]]&lt;=45,"Mid Career","Senior")))</f>
        <v>Young</v>
      </c>
      <c r="AK173" t="str">
        <f>IF(Table1[[#This Row],[MonthlyIncome]]&lt;3000,"Low",IF(Table1[[#This Row],[MonthlyIncome]]&lt;7000,"Medium","High"))</f>
        <v>Low</v>
      </c>
      <c r="AL17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74" spans="1:38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tr">
        <f>IF(Table1[[#This Row],[Age]]&lt;=25,"Young",IF(Table1[[#This Row],[Age]]&lt;=35,"Early Career",IF(Table1[[#This Row],[Age]]&lt;=45,"Mid Career","Senior")))</f>
        <v>Mid Career</v>
      </c>
      <c r="AK174" t="str">
        <f>IF(Table1[[#This Row],[MonthlyIncome]]&lt;3000,"Low",IF(Table1[[#This Row],[MonthlyIncome]]&lt;7000,"Medium","High"))</f>
        <v>Low</v>
      </c>
      <c r="AL17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75" spans="1:38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tr">
        <f>IF(Table1[[#This Row],[Age]]&lt;=25,"Young",IF(Table1[[#This Row],[Age]]&lt;=35,"Early Career",IF(Table1[[#This Row],[Age]]&lt;=45,"Mid Career","Senior")))</f>
        <v>Early Career</v>
      </c>
      <c r="AK175" t="str">
        <f>IF(Table1[[#This Row],[MonthlyIncome]]&lt;3000,"Low",IF(Table1[[#This Row],[MonthlyIncome]]&lt;7000,"Medium","High"))</f>
        <v>Medium</v>
      </c>
      <c r="AL175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76" spans="1:38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tr">
        <f>IF(Table1[[#This Row],[Age]]&lt;=25,"Young",IF(Table1[[#This Row],[Age]]&lt;=35,"Early Career",IF(Table1[[#This Row],[Age]]&lt;=45,"Mid Career","Senior")))</f>
        <v>Mid Career</v>
      </c>
      <c r="AK176" t="str">
        <f>IF(Table1[[#This Row],[MonthlyIncome]]&lt;3000,"Low",IF(Table1[[#This Row],[MonthlyIncome]]&lt;7000,"Medium","High"))</f>
        <v>Medium</v>
      </c>
      <c r="AL17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77" spans="1:38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tr">
        <f>IF(Table1[[#This Row],[Age]]&lt;=25,"Young",IF(Table1[[#This Row],[Age]]&lt;=35,"Early Career",IF(Table1[[#This Row],[Age]]&lt;=45,"Mid Career","Senior")))</f>
        <v>Senior</v>
      </c>
      <c r="AK177" t="str">
        <f>IF(Table1[[#This Row],[MonthlyIncome]]&lt;3000,"Low",IF(Table1[[#This Row],[MonthlyIncome]]&lt;7000,"Medium","High"))</f>
        <v>Medium</v>
      </c>
      <c r="AL17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78" spans="1:38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tr">
        <f>IF(Table1[[#This Row],[Age]]&lt;=25,"Young",IF(Table1[[#This Row],[Age]]&lt;=35,"Early Career",IF(Table1[[#This Row],[Age]]&lt;=45,"Mid Career","Senior")))</f>
        <v>Early Career</v>
      </c>
      <c r="AK178" t="str">
        <f>IF(Table1[[#This Row],[MonthlyIncome]]&lt;3000,"Low",IF(Table1[[#This Row],[MonthlyIncome]]&lt;7000,"Medium","High"))</f>
        <v>Low</v>
      </c>
      <c r="AL17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79" spans="1:38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tr">
        <f>IF(Table1[[#This Row],[Age]]&lt;=25,"Young",IF(Table1[[#This Row],[Age]]&lt;=35,"Early Career",IF(Table1[[#This Row],[Age]]&lt;=45,"Mid Career","Senior")))</f>
        <v>Young</v>
      </c>
      <c r="AK179" t="str">
        <f>IF(Table1[[#This Row],[MonthlyIncome]]&lt;3000,"Low",IF(Table1[[#This Row],[MonthlyIncome]]&lt;7000,"Medium","High"))</f>
        <v>Low</v>
      </c>
      <c r="AL17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80" spans="1:38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tr">
        <f>IF(Table1[[#This Row],[Age]]&lt;=25,"Young",IF(Table1[[#This Row],[Age]]&lt;=35,"Early Career",IF(Table1[[#This Row],[Age]]&lt;=45,"Mid Career","Senior")))</f>
        <v>Senior</v>
      </c>
      <c r="AK180" t="str">
        <f>IF(Table1[[#This Row],[MonthlyIncome]]&lt;3000,"Low",IF(Table1[[#This Row],[MonthlyIncome]]&lt;7000,"Medium","High"))</f>
        <v>High</v>
      </c>
      <c r="AL180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81" spans="1:38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tr">
        <f>IF(Table1[[#This Row],[Age]]&lt;=25,"Young",IF(Table1[[#This Row],[Age]]&lt;=35,"Early Career",IF(Table1[[#This Row],[Age]]&lt;=45,"Mid Career","Senior")))</f>
        <v>Mid Career</v>
      </c>
      <c r="AK181" t="str">
        <f>IF(Table1[[#This Row],[MonthlyIncome]]&lt;3000,"Low",IF(Table1[[#This Row],[MonthlyIncome]]&lt;7000,"Medium","High"))</f>
        <v>Low</v>
      </c>
      <c r="AL18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82" spans="1:38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tr">
        <f>IF(Table1[[#This Row],[Age]]&lt;=25,"Young",IF(Table1[[#This Row],[Age]]&lt;=35,"Early Career",IF(Table1[[#This Row],[Age]]&lt;=45,"Mid Career","Senior")))</f>
        <v>Early Career</v>
      </c>
      <c r="AK182" t="str">
        <f>IF(Table1[[#This Row],[MonthlyIncome]]&lt;3000,"Low",IF(Table1[[#This Row],[MonthlyIncome]]&lt;7000,"Medium","High"))</f>
        <v>Medium</v>
      </c>
      <c r="AL18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83" spans="1:38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tr">
        <f>IF(Table1[[#This Row],[Age]]&lt;=25,"Young",IF(Table1[[#This Row],[Age]]&lt;=35,"Early Career",IF(Table1[[#This Row],[Age]]&lt;=45,"Mid Career","Senior")))</f>
        <v>Early Career</v>
      </c>
      <c r="AK183" t="str">
        <f>IF(Table1[[#This Row],[MonthlyIncome]]&lt;3000,"Low",IF(Table1[[#This Row],[MonthlyIncome]]&lt;7000,"Medium","High"))</f>
        <v>Low</v>
      </c>
      <c r="AL183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84" spans="1:38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tr">
        <f>IF(Table1[[#This Row],[Age]]&lt;=25,"Young",IF(Table1[[#This Row],[Age]]&lt;=35,"Early Career",IF(Table1[[#This Row],[Age]]&lt;=45,"Mid Career","Senior")))</f>
        <v>Mid Career</v>
      </c>
      <c r="AK184" t="str">
        <f>IF(Table1[[#This Row],[MonthlyIncome]]&lt;3000,"Low",IF(Table1[[#This Row],[MonthlyIncome]]&lt;7000,"Medium","High"))</f>
        <v>Medium</v>
      </c>
      <c r="AL18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85" spans="1:38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tr">
        <f>IF(Table1[[#This Row],[Age]]&lt;=25,"Young",IF(Table1[[#This Row],[Age]]&lt;=35,"Early Career",IF(Table1[[#This Row],[Age]]&lt;=45,"Mid Career","Senior")))</f>
        <v>Senior</v>
      </c>
      <c r="AK185" t="str">
        <f>IF(Table1[[#This Row],[MonthlyIncome]]&lt;3000,"Low",IF(Table1[[#This Row],[MonthlyIncome]]&lt;7000,"Medium","High"))</f>
        <v>Medium</v>
      </c>
      <c r="AL18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86" spans="1:38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tr">
        <f>IF(Table1[[#This Row],[Age]]&lt;=25,"Young",IF(Table1[[#This Row],[Age]]&lt;=35,"Early Career",IF(Table1[[#This Row],[Age]]&lt;=45,"Mid Career","Senior")))</f>
        <v>Senior</v>
      </c>
      <c r="AK186" t="str">
        <f>IF(Table1[[#This Row],[MonthlyIncome]]&lt;3000,"Low",IF(Table1[[#This Row],[MonthlyIncome]]&lt;7000,"Medium","High"))</f>
        <v>Medium</v>
      </c>
      <c r="AL18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87" spans="1:38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tr">
        <f>IF(Table1[[#This Row],[Age]]&lt;=25,"Young",IF(Table1[[#This Row],[Age]]&lt;=35,"Early Career",IF(Table1[[#This Row],[Age]]&lt;=45,"Mid Career","Senior")))</f>
        <v>Early Career</v>
      </c>
      <c r="AK187" t="str">
        <f>IF(Table1[[#This Row],[MonthlyIncome]]&lt;3000,"Low",IF(Table1[[#This Row],[MonthlyIncome]]&lt;7000,"Medium","High"))</f>
        <v>Low</v>
      </c>
      <c r="AL18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88" spans="1:38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tr">
        <f>IF(Table1[[#This Row],[Age]]&lt;=25,"Young",IF(Table1[[#This Row],[Age]]&lt;=35,"Early Career",IF(Table1[[#This Row],[Age]]&lt;=45,"Mid Career","Senior")))</f>
        <v>Mid Career</v>
      </c>
      <c r="AK188" t="str">
        <f>IF(Table1[[#This Row],[MonthlyIncome]]&lt;3000,"Low",IF(Table1[[#This Row],[MonthlyIncome]]&lt;7000,"Medium","High"))</f>
        <v>High</v>
      </c>
      <c r="AL188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89" spans="1:38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tr">
        <f>IF(Table1[[#This Row],[Age]]&lt;=25,"Young",IF(Table1[[#This Row],[Age]]&lt;=35,"Early Career",IF(Table1[[#This Row],[Age]]&lt;=45,"Mid Career","Senior")))</f>
        <v>Senior</v>
      </c>
      <c r="AK189" t="str">
        <f>IF(Table1[[#This Row],[MonthlyIncome]]&lt;3000,"Low",IF(Table1[[#This Row],[MonthlyIncome]]&lt;7000,"Medium","High"))</f>
        <v>High</v>
      </c>
      <c r="AL189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90" spans="1:38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tr">
        <f>IF(Table1[[#This Row],[Age]]&lt;=25,"Young",IF(Table1[[#This Row],[Age]]&lt;=35,"Early Career",IF(Table1[[#This Row],[Age]]&lt;=45,"Mid Career","Senior")))</f>
        <v>Early Career</v>
      </c>
      <c r="AK190" t="str">
        <f>IF(Table1[[#This Row],[MonthlyIncome]]&lt;3000,"Low",IF(Table1[[#This Row],[MonthlyIncome]]&lt;7000,"Medium","High"))</f>
        <v>High</v>
      </c>
      <c r="AL19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91" spans="1:38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tr">
        <f>IF(Table1[[#This Row],[Age]]&lt;=25,"Young",IF(Table1[[#This Row],[Age]]&lt;=35,"Early Career",IF(Table1[[#This Row],[Age]]&lt;=45,"Mid Career","Senior")))</f>
        <v>Senior</v>
      </c>
      <c r="AK191" t="str">
        <f>IF(Table1[[#This Row],[MonthlyIncome]]&lt;3000,"Low",IF(Table1[[#This Row],[MonthlyIncome]]&lt;7000,"Medium","High"))</f>
        <v>High</v>
      </c>
      <c r="AL19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92" spans="1:38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tr">
        <f>IF(Table1[[#This Row],[Age]]&lt;=25,"Young",IF(Table1[[#This Row],[Age]]&lt;=35,"Early Career",IF(Table1[[#This Row],[Age]]&lt;=45,"Mid Career","Senior")))</f>
        <v>Senior</v>
      </c>
      <c r="AK192" t="str">
        <f>IF(Table1[[#This Row],[MonthlyIncome]]&lt;3000,"Low",IF(Table1[[#This Row],[MonthlyIncome]]&lt;7000,"Medium","High"))</f>
        <v>High</v>
      </c>
      <c r="AL192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93" spans="1:38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tr">
        <f>IF(Table1[[#This Row],[Age]]&lt;=25,"Young",IF(Table1[[#This Row],[Age]]&lt;=35,"Early Career",IF(Table1[[#This Row],[Age]]&lt;=45,"Mid Career","Senior")))</f>
        <v>Early Career</v>
      </c>
      <c r="AK193" t="str">
        <f>IF(Table1[[#This Row],[MonthlyIncome]]&lt;3000,"Low",IF(Table1[[#This Row],[MonthlyIncome]]&lt;7000,"Medium","High"))</f>
        <v>Low</v>
      </c>
      <c r="AL19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94" spans="1:38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tr">
        <f>IF(Table1[[#This Row],[Age]]&lt;=25,"Young",IF(Table1[[#This Row],[Age]]&lt;=35,"Early Career",IF(Table1[[#This Row],[Age]]&lt;=45,"Mid Career","Senior")))</f>
        <v>Early Career</v>
      </c>
      <c r="AK194" t="str">
        <f>IF(Table1[[#This Row],[MonthlyIncome]]&lt;3000,"Low",IF(Table1[[#This Row],[MonthlyIncome]]&lt;7000,"Medium","High"))</f>
        <v>Medium</v>
      </c>
      <c r="AL19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95" spans="1:38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tr">
        <f>IF(Table1[[#This Row],[Age]]&lt;=25,"Young",IF(Table1[[#This Row],[Age]]&lt;=35,"Early Career",IF(Table1[[#This Row],[Age]]&lt;=45,"Mid Career","Senior")))</f>
        <v>Mid Career</v>
      </c>
      <c r="AK195" t="str">
        <f>IF(Table1[[#This Row],[MonthlyIncome]]&lt;3000,"Low",IF(Table1[[#This Row],[MonthlyIncome]]&lt;7000,"Medium","High"))</f>
        <v>Low</v>
      </c>
      <c r="AL19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96" spans="1:38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tr">
        <f>IF(Table1[[#This Row],[Age]]&lt;=25,"Young",IF(Table1[[#This Row],[Age]]&lt;=35,"Early Career",IF(Table1[[#This Row],[Age]]&lt;=45,"Mid Career","Senior")))</f>
        <v>Mid Career</v>
      </c>
      <c r="AK196" t="str">
        <f>IF(Table1[[#This Row],[MonthlyIncome]]&lt;3000,"Low",IF(Table1[[#This Row],[MonthlyIncome]]&lt;7000,"Medium","High"))</f>
        <v>High</v>
      </c>
      <c r="AL196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97" spans="1:38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tr">
        <f>IF(Table1[[#This Row],[Age]]&lt;=25,"Young",IF(Table1[[#This Row],[Age]]&lt;=35,"Early Career",IF(Table1[[#This Row],[Age]]&lt;=45,"Mid Career","Senior")))</f>
        <v>Mid Career</v>
      </c>
      <c r="AK197" t="str">
        <f>IF(Table1[[#This Row],[MonthlyIncome]]&lt;3000,"Low",IF(Table1[[#This Row],[MonthlyIncome]]&lt;7000,"Medium","High"))</f>
        <v>Medium</v>
      </c>
      <c r="AL19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98" spans="1:38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tr">
        <f>IF(Table1[[#This Row],[Age]]&lt;=25,"Young",IF(Table1[[#This Row],[Age]]&lt;=35,"Early Career",IF(Table1[[#This Row],[Age]]&lt;=45,"Mid Career","Senior")))</f>
        <v>Early Career</v>
      </c>
      <c r="AK198" t="str">
        <f>IF(Table1[[#This Row],[MonthlyIncome]]&lt;3000,"Low",IF(Table1[[#This Row],[MonthlyIncome]]&lt;7000,"Medium","High"))</f>
        <v>Medium</v>
      </c>
      <c r="AL19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99" spans="1:38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tr">
        <f>IF(Table1[[#This Row],[Age]]&lt;=25,"Young",IF(Table1[[#This Row],[Age]]&lt;=35,"Early Career",IF(Table1[[#This Row],[Age]]&lt;=45,"Mid Career","Senior")))</f>
        <v>Mid Career</v>
      </c>
      <c r="AK199" t="str">
        <f>IF(Table1[[#This Row],[MonthlyIncome]]&lt;3000,"Low",IF(Table1[[#This Row],[MonthlyIncome]]&lt;7000,"Medium","High"))</f>
        <v>Medium</v>
      </c>
      <c r="AL19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00" spans="1:38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tr">
        <f>IF(Table1[[#This Row],[Age]]&lt;=25,"Young",IF(Table1[[#This Row],[Age]]&lt;=35,"Early Career",IF(Table1[[#This Row],[Age]]&lt;=45,"Mid Career","Senior")))</f>
        <v>Mid Career</v>
      </c>
      <c r="AK200" t="str">
        <f>IF(Table1[[#This Row],[MonthlyIncome]]&lt;3000,"Low",IF(Table1[[#This Row],[MonthlyIncome]]&lt;7000,"Medium","High"))</f>
        <v>Medium</v>
      </c>
      <c r="AL20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201" spans="1:38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tr">
        <f>IF(Table1[[#This Row],[Age]]&lt;=25,"Young",IF(Table1[[#This Row],[Age]]&lt;=35,"Early Career",IF(Table1[[#This Row],[Age]]&lt;=45,"Mid Career","Senior")))</f>
        <v>Mid Career</v>
      </c>
      <c r="AK201" t="str">
        <f>IF(Table1[[#This Row],[MonthlyIncome]]&lt;3000,"Low",IF(Table1[[#This Row],[MonthlyIncome]]&lt;7000,"Medium","High"))</f>
        <v>Medium</v>
      </c>
      <c r="AL20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02" spans="1:38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tr">
        <f>IF(Table1[[#This Row],[Age]]&lt;=25,"Young",IF(Table1[[#This Row],[Age]]&lt;=35,"Early Career",IF(Table1[[#This Row],[Age]]&lt;=45,"Mid Career","Senior")))</f>
        <v>Early Career</v>
      </c>
      <c r="AK202" t="str">
        <f>IF(Table1[[#This Row],[MonthlyIncome]]&lt;3000,"Low",IF(Table1[[#This Row],[MonthlyIncome]]&lt;7000,"Medium","High"))</f>
        <v>Medium</v>
      </c>
      <c r="AL20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203" spans="1:38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tr">
        <f>IF(Table1[[#This Row],[Age]]&lt;=25,"Young",IF(Table1[[#This Row],[Age]]&lt;=35,"Early Career",IF(Table1[[#This Row],[Age]]&lt;=45,"Mid Career","Senior")))</f>
        <v>Senior</v>
      </c>
      <c r="AK203" t="str">
        <f>IF(Table1[[#This Row],[MonthlyIncome]]&lt;3000,"Low",IF(Table1[[#This Row],[MonthlyIncome]]&lt;7000,"Medium","High"))</f>
        <v>Medium</v>
      </c>
      <c r="AL20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04" spans="1:38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tr">
        <f>IF(Table1[[#This Row],[Age]]&lt;=25,"Young",IF(Table1[[#This Row],[Age]]&lt;=35,"Early Career",IF(Table1[[#This Row],[Age]]&lt;=45,"Mid Career","Senior")))</f>
        <v>Early Career</v>
      </c>
      <c r="AK204" t="str">
        <f>IF(Table1[[#This Row],[MonthlyIncome]]&lt;3000,"Low",IF(Table1[[#This Row],[MonthlyIncome]]&lt;7000,"Medium","High"))</f>
        <v>Medium</v>
      </c>
      <c r="AL20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05" spans="1:38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tr">
        <f>IF(Table1[[#This Row],[Age]]&lt;=25,"Young",IF(Table1[[#This Row],[Age]]&lt;=35,"Early Career",IF(Table1[[#This Row],[Age]]&lt;=45,"Mid Career","Senior")))</f>
        <v>Mid Career</v>
      </c>
      <c r="AK205" t="str">
        <f>IF(Table1[[#This Row],[MonthlyIncome]]&lt;3000,"Low",IF(Table1[[#This Row],[MonthlyIncome]]&lt;7000,"Medium","High"))</f>
        <v>Low</v>
      </c>
      <c r="AL20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06" spans="1:38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tr">
        <f>IF(Table1[[#This Row],[Age]]&lt;=25,"Young",IF(Table1[[#This Row],[Age]]&lt;=35,"Early Career",IF(Table1[[#This Row],[Age]]&lt;=45,"Mid Career","Senior")))</f>
        <v>Mid Career</v>
      </c>
      <c r="AK206" t="str">
        <f>IF(Table1[[#This Row],[MonthlyIncome]]&lt;3000,"Low",IF(Table1[[#This Row],[MonthlyIncome]]&lt;7000,"Medium","High"))</f>
        <v>Medium</v>
      </c>
      <c r="AL206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207" spans="1:38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tr">
        <f>IF(Table1[[#This Row],[Age]]&lt;=25,"Young",IF(Table1[[#This Row],[Age]]&lt;=35,"Early Career",IF(Table1[[#This Row],[Age]]&lt;=45,"Mid Career","Senior")))</f>
        <v>Early Career</v>
      </c>
      <c r="AK207" t="str">
        <f>IF(Table1[[#This Row],[MonthlyIncome]]&lt;3000,"Low",IF(Table1[[#This Row],[MonthlyIncome]]&lt;7000,"Medium","High"))</f>
        <v>High</v>
      </c>
      <c r="AL20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08" spans="1:38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tr">
        <f>IF(Table1[[#This Row],[Age]]&lt;=25,"Young",IF(Table1[[#This Row],[Age]]&lt;=35,"Early Career",IF(Table1[[#This Row],[Age]]&lt;=45,"Mid Career","Senior")))</f>
        <v>Young</v>
      </c>
      <c r="AK208" t="str">
        <f>IF(Table1[[#This Row],[MonthlyIncome]]&lt;3000,"Low",IF(Table1[[#This Row],[MonthlyIncome]]&lt;7000,"Medium","High"))</f>
        <v>Low</v>
      </c>
      <c r="AL20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09" spans="1:38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tr">
        <f>IF(Table1[[#This Row],[Age]]&lt;=25,"Young",IF(Table1[[#This Row],[Age]]&lt;=35,"Early Career",IF(Table1[[#This Row],[Age]]&lt;=45,"Mid Career","Senior")))</f>
        <v>Mid Career</v>
      </c>
      <c r="AK209" t="str">
        <f>IF(Table1[[#This Row],[MonthlyIncome]]&lt;3000,"Low",IF(Table1[[#This Row],[MonthlyIncome]]&lt;7000,"Medium","High"))</f>
        <v>Low</v>
      </c>
      <c r="AL209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10" spans="1:38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tr">
        <f>IF(Table1[[#This Row],[Age]]&lt;=25,"Young",IF(Table1[[#This Row],[Age]]&lt;=35,"Early Career",IF(Table1[[#This Row],[Age]]&lt;=45,"Mid Career","Senior")))</f>
        <v>Mid Career</v>
      </c>
      <c r="AK210" t="str">
        <f>IF(Table1[[#This Row],[MonthlyIncome]]&lt;3000,"Low",IF(Table1[[#This Row],[MonthlyIncome]]&lt;7000,"Medium","High"))</f>
        <v>Medium</v>
      </c>
      <c r="AL21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11" spans="1:38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tr">
        <f>IF(Table1[[#This Row],[Age]]&lt;=25,"Young",IF(Table1[[#This Row],[Age]]&lt;=35,"Early Career",IF(Table1[[#This Row],[Age]]&lt;=45,"Mid Career","Senior")))</f>
        <v>Senior</v>
      </c>
      <c r="AK211" t="str">
        <f>IF(Table1[[#This Row],[MonthlyIncome]]&lt;3000,"Low",IF(Table1[[#This Row],[MonthlyIncome]]&lt;7000,"Medium","High"))</f>
        <v>High</v>
      </c>
      <c r="AL21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12" spans="1:38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tr">
        <f>IF(Table1[[#This Row],[Age]]&lt;=25,"Young",IF(Table1[[#This Row],[Age]]&lt;=35,"Early Career",IF(Table1[[#This Row],[Age]]&lt;=45,"Mid Career","Senior")))</f>
        <v>Early Career</v>
      </c>
      <c r="AK212" t="str">
        <f>IF(Table1[[#This Row],[MonthlyIncome]]&lt;3000,"Low",IF(Table1[[#This Row],[MonthlyIncome]]&lt;7000,"Medium","High"))</f>
        <v>High</v>
      </c>
      <c r="AL212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213" spans="1:38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tr">
        <f>IF(Table1[[#This Row],[Age]]&lt;=25,"Young",IF(Table1[[#This Row],[Age]]&lt;=35,"Early Career",IF(Table1[[#This Row],[Age]]&lt;=45,"Mid Career","Senior")))</f>
        <v>Early Career</v>
      </c>
      <c r="AK213" t="str">
        <f>IF(Table1[[#This Row],[MonthlyIncome]]&lt;3000,"Low",IF(Table1[[#This Row],[MonthlyIncome]]&lt;7000,"Medium","High"))</f>
        <v>High</v>
      </c>
      <c r="AL213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214" spans="1:38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tr">
        <f>IF(Table1[[#This Row],[Age]]&lt;=25,"Young",IF(Table1[[#This Row],[Age]]&lt;=35,"Early Career",IF(Table1[[#This Row],[Age]]&lt;=45,"Mid Career","Senior")))</f>
        <v>Early Career</v>
      </c>
      <c r="AK214" t="str">
        <f>IF(Table1[[#This Row],[MonthlyIncome]]&lt;3000,"Low",IF(Table1[[#This Row],[MonthlyIncome]]&lt;7000,"Medium","High"))</f>
        <v>High</v>
      </c>
      <c r="AL21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15" spans="1:38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tr">
        <f>IF(Table1[[#This Row],[Age]]&lt;=25,"Young",IF(Table1[[#This Row],[Age]]&lt;=35,"Early Career",IF(Table1[[#This Row],[Age]]&lt;=45,"Mid Career","Senior")))</f>
        <v>Senior</v>
      </c>
      <c r="AK215" t="str">
        <f>IF(Table1[[#This Row],[MonthlyIncome]]&lt;3000,"Low",IF(Table1[[#This Row],[MonthlyIncome]]&lt;7000,"Medium","High"))</f>
        <v>High</v>
      </c>
      <c r="AL21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16" spans="1:38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tr">
        <f>IF(Table1[[#This Row],[Age]]&lt;=25,"Young",IF(Table1[[#This Row],[Age]]&lt;=35,"Early Career",IF(Table1[[#This Row],[Age]]&lt;=45,"Mid Career","Senior")))</f>
        <v>Early Career</v>
      </c>
      <c r="AK216" t="str">
        <f>IF(Table1[[#This Row],[MonthlyIncome]]&lt;3000,"Low",IF(Table1[[#This Row],[MonthlyIncome]]&lt;7000,"Medium","High"))</f>
        <v>Low</v>
      </c>
      <c r="AL21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17" spans="1:38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tr">
        <f>IF(Table1[[#This Row],[Age]]&lt;=25,"Young",IF(Table1[[#This Row],[Age]]&lt;=35,"Early Career",IF(Table1[[#This Row],[Age]]&lt;=45,"Mid Career","Senior")))</f>
        <v>Mid Career</v>
      </c>
      <c r="AK217" t="str">
        <f>IF(Table1[[#This Row],[MonthlyIncome]]&lt;3000,"Low",IF(Table1[[#This Row],[MonthlyIncome]]&lt;7000,"Medium","High"))</f>
        <v>High</v>
      </c>
      <c r="AL21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218" spans="1:38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tr">
        <f>IF(Table1[[#This Row],[Age]]&lt;=25,"Young",IF(Table1[[#This Row],[Age]]&lt;=35,"Early Career",IF(Table1[[#This Row],[Age]]&lt;=45,"Mid Career","Senior")))</f>
        <v>Early Career</v>
      </c>
      <c r="AK218" t="str">
        <f>IF(Table1[[#This Row],[MonthlyIncome]]&lt;3000,"Low",IF(Table1[[#This Row],[MonthlyIncome]]&lt;7000,"Medium","High"))</f>
        <v>Medium</v>
      </c>
      <c r="AL21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19" spans="1:38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tr">
        <f>IF(Table1[[#This Row],[Age]]&lt;=25,"Young",IF(Table1[[#This Row],[Age]]&lt;=35,"Early Career",IF(Table1[[#This Row],[Age]]&lt;=45,"Mid Career","Senior")))</f>
        <v>Early Career</v>
      </c>
      <c r="AK219" t="str">
        <f>IF(Table1[[#This Row],[MonthlyIncome]]&lt;3000,"Low",IF(Table1[[#This Row],[MonthlyIncome]]&lt;7000,"Medium","High"))</f>
        <v>Low</v>
      </c>
      <c r="AL219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20" spans="1:38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tr">
        <f>IF(Table1[[#This Row],[Age]]&lt;=25,"Young",IF(Table1[[#This Row],[Age]]&lt;=35,"Early Career",IF(Table1[[#This Row],[Age]]&lt;=45,"Mid Career","Senior")))</f>
        <v>Mid Career</v>
      </c>
      <c r="AK220" t="str">
        <f>IF(Table1[[#This Row],[MonthlyIncome]]&lt;3000,"Low",IF(Table1[[#This Row],[MonthlyIncome]]&lt;7000,"Medium","High"))</f>
        <v>High</v>
      </c>
      <c r="AL220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221" spans="1:38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tr">
        <f>IF(Table1[[#This Row],[Age]]&lt;=25,"Young",IF(Table1[[#This Row],[Age]]&lt;=35,"Early Career",IF(Table1[[#This Row],[Age]]&lt;=45,"Mid Career","Senior")))</f>
        <v>Senior</v>
      </c>
      <c r="AK221" t="str">
        <f>IF(Table1[[#This Row],[MonthlyIncome]]&lt;3000,"Low",IF(Table1[[#This Row],[MonthlyIncome]]&lt;7000,"Medium","High"))</f>
        <v>Medium</v>
      </c>
      <c r="AL22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22" spans="1:38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tr">
        <f>IF(Table1[[#This Row],[Age]]&lt;=25,"Young",IF(Table1[[#This Row],[Age]]&lt;=35,"Early Career",IF(Table1[[#This Row],[Age]]&lt;=45,"Mid Career","Senior")))</f>
        <v>Mid Career</v>
      </c>
      <c r="AK222" t="str">
        <f>IF(Table1[[#This Row],[MonthlyIncome]]&lt;3000,"Low",IF(Table1[[#This Row],[MonthlyIncome]]&lt;7000,"Medium","High"))</f>
        <v>Medium</v>
      </c>
      <c r="AL222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223" spans="1:38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tr">
        <f>IF(Table1[[#This Row],[Age]]&lt;=25,"Young",IF(Table1[[#This Row],[Age]]&lt;=35,"Early Career",IF(Table1[[#This Row],[Age]]&lt;=45,"Mid Career","Senior")))</f>
        <v>Early Career</v>
      </c>
      <c r="AK223" t="str">
        <f>IF(Table1[[#This Row],[MonthlyIncome]]&lt;3000,"Low",IF(Table1[[#This Row],[MonthlyIncome]]&lt;7000,"Medium","High"))</f>
        <v>Low</v>
      </c>
      <c r="AL223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24" spans="1:38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tr">
        <f>IF(Table1[[#This Row],[Age]]&lt;=25,"Young",IF(Table1[[#This Row],[Age]]&lt;=35,"Early Career",IF(Table1[[#This Row],[Age]]&lt;=45,"Mid Career","Senior")))</f>
        <v>Mid Career</v>
      </c>
      <c r="AK224" t="str">
        <f>IF(Table1[[#This Row],[MonthlyIncome]]&lt;3000,"Low",IF(Table1[[#This Row],[MonthlyIncome]]&lt;7000,"Medium","High"))</f>
        <v>High</v>
      </c>
      <c r="AL22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25" spans="1:38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tr">
        <f>IF(Table1[[#This Row],[Age]]&lt;=25,"Young",IF(Table1[[#This Row],[Age]]&lt;=35,"Early Career",IF(Table1[[#This Row],[Age]]&lt;=45,"Mid Career","Senior")))</f>
        <v>Mid Career</v>
      </c>
      <c r="AK225" t="str">
        <f>IF(Table1[[#This Row],[MonthlyIncome]]&lt;3000,"Low",IF(Table1[[#This Row],[MonthlyIncome]]&lt;7000,"Medium","High"))</f>
        <v>High</v>
      </c>
      <c r="AL225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226" spans="1:38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tr">
        <f>IF(Table1[[#This Row],[Age]]&lt;=25,"Young",IF(Table1[[#This Row],[Age]]&lt;=35,"Early Career",IF(Table1[[#This Row],[Age]]&lt;=45,"Mid Career","Senior")))</f>
        <v>Early Career</v>
      </c>
      <c r="AK226" t="str">
        <f>IF(Table1[[#This Row],[MonthlyIncome]]&lt;3000,"Low",IF(Table1[[#This Row],[MonthlyIncome]]&lt;7000,"Medium","High"))</f>
        <v>Medium</v>
      </c>
      <c r="AL22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27" spans="1:38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tr">
        <f>IF(Table1[[#This Row],[Age]]&lt;=25,"Young",IF(Table1[[#This Row],[Age]]&lt;=35,"Early Career",IF(Table1[[#This Row],[Age]]&lt;=45,"Mid Career","Senior")))</f>
        <v>Senior</v>
      </c>
      <c r="AK227" t="str">
        <f>IF(Table1[[#This Row],[MonthlyIncome]]&lt;3000,"Low",IF(Table1[[#This Row],[MonthlyIncome]]&lt;7000,"Medium","High"))</f>
        <v>Low</v>
      </c>
      <c r="AL22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228" spans="1:38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tr">
        <f>IF(Table1[[#This Row],[Age]]&lt;=25,"Young",IF(Table1[[#This Row],[Age]]&lt;=35,"Early Career",IF(Table1[[#This Row],[Age]]&lt;=45,"Mid Career","Senior")))</f>
        <v>Mid Career</v>
      </c>
      <c r="AK228" t="str">
        <f>IF(Table1[[#This Row],[MonthlyIncome]]&lt;3000,"Low",IF(Table1[[#This Row],[MonthlyIncome]]&lt;7000,"Medium","High"))</f>
        <v>Low</v>
      </c>
      <c r="AL22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29" spans="1:38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tr">
        <f>IF(Table1[[#This Row],[Age]]&lt;=25,"Young",IF(Table1[[#This Row],[Age]]&lt;=35,"Early Career",IF(Table1[[#This Row],[Age]]&lt;=45,"Mid Career","Senior")))</f>
        <v>Early Career</v>
      </c>
      <c r="AK229" t="str">
        <f>IF(Table1[[#This Row],[MonthlyIncome]]&lt;3000,"Low",IF(Table1[[#This Row],[MonthlyIncome]]&lt;7000,"Medium","High"))</f>
        <v>High</v>
      </c>
      <c r="AL229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230" spans="1:38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tr">
        <f>IF(Table1[[#This Row],[Age]]&lt;=25,"Young",IF(Table1[[#This Row],[Age]]&lt;=35,"Early Career",IF(Table1[[#This Row],[Age]]&lt;=45,"Mid Career","Senior")))</f>
        <v>Early Career</v>
      </c>
      <c r="AK230" t="str">
        <f>IF(Table1[[#This Row],[MonthlyIncome]]&lt;3000,"Low",IF(Table1[[#This Row],[MonthlyIncome]]&lt;7000,"Medium","High"))</f>
        <v>High</v>
      </c>
      <c r="AL23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31" spans="1:38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tr">
        <f>IF(Table1[[#This Row],[Age]]&lt;=25,"Young",IF(Table1[[#This Row],[Age]]&lt;=35,"Early Career",IF(Table1[[#This Row],[Age]]&lt;=45,"Mid Career","Senior")))</f>
        <v>Early Career</v>
      </c>
      <c r="AK231" t="str">
        <f>IF(Table1[[#This Row],[MonthlyIncome]]&lt;3000,"Low",IF(Table1[[#This Row],[MonthlyIncome]]&lt;7000,"Medium","High"))</f>
        <v>Low</v>
      </c>
      <c r="AL23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32" spans="1:38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tr">
        <f>IF(Table1[[#This Row],[Age]]&lt;=25,"Young",IF(Table1[[#This Row],[Age]]&lt;=35,"Early Career",IF(Table1[[#This Row],[Age]]&lt;=45,"Mid Career","Senior")))</f>
        <v>Senior</v>
      </c>
      <c r="AK232" t="str">
        <f>IF(Table1[[#This Row],[MonthlyIncome]]&lt;3000,"Low",IF(Table1[[#This Row],[MonthlyIncome]]&lt;7000,"Medium","High"))</f>
        <v>Medium</v>
      </c>
      <c r="AL23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233" spans="1:38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tr">
        <f>IF(Table1[[#This Row],[Age]]&lt;=25,"Young",IF(Table1[[#This Row],[Age]]&lt;=35,"Early Career",IF(Table1[[#This Row],[Age]]&lt;=45,"Mid Career","Senior")))</f>
        <v>Mid Career</v>
      </c>
      <c r="AK233" t="str">
        <f>IF(Table1[[#This Row],[MonthlyIncome]]&lt;3000,"Low",IF(Table1[[#This Row],[MonthlyIncome]]&lt;7000,"Medium","High"))</f>
        <v>High</v>
      </c>
      <c r="AL233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234" spans="1:38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tr">
        <f>IF(Table1[[#This Row],[Age]]&lt;=25,"Young",IF(Table1[[#This Row],[Age]]&lt;=35,"Early Career",IF(Table1[[#This Row],[Age]]&lt;=45,"Mid Career","Senior")))</f>
        <v>Senior</v>
      </c>
      <c r="AK234" t="str">
        <f>IF(Table1[[#This Row],[MonthlyIncome]]&lt;3000,"Low",IF(Table1[[#This Row],[MonthlyIncome]]&lt;7000,"Medium","High"))</f>
        <v>Low</v>
      </c>
      <c r="AL23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235" spans="1:38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tr">
        <f>IF(Table1[[#This Row],[Age]]&lt;=25,"Young",IF(Table1[[#This Row],[Age]]&lt;=35,"Early Career",IF(Table1[[#This Row],[Age]]&lt;=45,"Mid Career","Senior")))</f>
        <v>Senior</v>
      </c>
      <c r="AK235" t="str">
        <f>IF(Table1[[#This Row],[MonthlyIncome]]&lt;3000,"Low",IF(Table1[[#This Row],[MonthlyIncome]]&lt;7000,"Medium","High"))</f>
        <v>High</v>
      </c>
      <c r="AL23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36" spans="1:38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tr">
        <f>IF(Table1[[#This Row],[Age]]&lt;=25,"Young",IF(Table1[[#This Row],[Age]]&lt;=35,"Early Career",IF(Table1[[#This Row],[Age]]&lt;=45,"Mid Career","Senior")))</f>
        <v>Early Career</v>
      </c>
      <c r="AK236" t="str">
        <f>IF(Table1[[#This Row],[MonthlyIncome]]&lt;3000,"Low",IF(Table1[[#This Row],[MonthlyIncome]]&lt;7000,"Medium","High"))</f>
        <v>Low</v>
      </c>
      <c r="AL23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37" spans="1:38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tr">
        <f>IF(Table1[[#This Row],[Age]]&lt;=25,"Young",IF(Table1[[#This Row],[Age]]&lt;=35,"Early Career",IF(Table1[[#This Row],[Age]]&lt;=45,"Mid Career","Senior")))</f>
        <v>Mid Career</v>
      </c>
      <c r="AK237" t="str">
        <f>IF(Table1[[#This Row],[MonthlyIncome]]&lt;3000,"Low",IF(Table1[[#This Row],[MonthlyIncome]]&lt;7000,"Medium","High"))</f>
        <v>High</v>
      </c>
      <c r="AL237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238" spans="1:38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tr">
        <f>IF(Table1[[#This Row],[Age]]&lt;=25,"Young",IF(Table1[[#This Row],[Age]]&lt;=35,"Early Career",IF(Table1[[#This Row],[Age]]&lt;=45,"Mid Career","Senior")))</f>
        <v>Early Career</v>
      </c>
      <c r="AK238" t="str">
        <f>IF(Table1[[#This Row],[MonthlyIncome]]&lt;3000,"Low",IF(Table1[[#This Row],[MonthlyIncome]]&lt;7000,"Medium","High"))</f>
        <v>Low</v>
      </c>
      <c r="AL23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39" spans="1:38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tr">
        <f>IF(Table1[[#This Row],[Age]]&lt;=25,"Young",IF(Table1[[#This Row],[Age]]&lt;=35,"Early Career",IF(Table1[[#This Row],[Age]]&lt;=45,"Mid Career","Senior")))</f>
        <v>Senior</v>
      </c>
      <c r="AK239" t="str">
        <f>IF(Table1[[#This Row],[MonthlyIncome]]&lt;3000,"Low",IF(Table1[[#This Row],[MonthlyIncome]]&lt;7000,"Medium","High"))</f>
        <v>High</v>
      </c>
      <c r="AL239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240" spans="1:38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tr">
        <f>IF(Table1[[#This Row],[Age]]&lt;=25,"Young",IF(Table1[[#This Row],[Age]]&lt;=35,"Early Career",IF(Table1[[#This Row],[Age]]&lt;=45,"Mid Career","Senior")))</f>
        <v>Early Career</v>
      </c>
      <c r="AK240" t="str">
        <f>IF(Table1[[#This Row],[MonthlyIncome]]&lt;3000,"Low",IF(Table1[[#This Row],[MonthlyIncome]]&lt;7000,"Medium","High"))</f>
        <v>Medium</v>
      </c>
      <c r="AL24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41" spans="1:38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tr">
        <f>IF(Table1[[#This Row],[Age]]&lt;=25,"Young",IF(Table1[[#This Row],[Age]]&lt;=35,"Early Career",IF(Table1[[#This Row],[Age]]&lt;=45,"Mid Career","Senior")))</f>
        <v>Early Career</v>
      </c>
      <c r="AK241" t="str">
        <f>IF(Table1[[#This Row],[MonthlyIncome]]&lt;3000,"Low",IF(Table1[[#This Row],[MonthlyIncome]]&lt;7000,"Medium","High"))</f>
        <v>Medium</v>
      </c>
      <c r="AL24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42" spans="1:38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tr">
        <f>IF(Table1[[#This Row],[Age]]&lt;=25,"Young",IF(Table1[[#This Row],[Age]]&lt;=35,"Early Career",IF(Table1[[#This Row],[Age]]&lt;=45,"Mid Career","Senior")))</f>
        <v>Mid Career</v>
      </c>
      <c r="AK242" t="str">
        <f>IF(Table1[[#This Row],[MonthlyIncome]]&lt;3000,"Low",IF(Table1[[#This Row],[MonthlyIncome]]&lt;7000,"Medium","High"))</f>
        <v>Low</v>
      </c>
      <c r="AL24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43" spans="1:38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tr">
        <f>IF(Table1[[#This Row],[Age]]&lt;=25,"Young",IF(Table1[[#This Row],[Age]]&lt;=35,"Early Career",IF(Table1[[#This Row],[Age]]&lt;=45,"Mid Career","Senior")))</f>
        <v>Early Career</v>
      </c>
      <c r="AK243" t="str">
        <f>IF(Table1[[#This Row],[MonthlyIncome]]&lt;3000,"Low",IF(Table1[[#This Row],[MonthlyIncome]]&lt;7000,"Medium","High"))</f>
        <v>Medium</v>
      </c>
      <c r="AL243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44" spans="1:38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tr">
        <f>IF(Table1[[#This Row],[Age]]&lt;=25,"Young",IF(Table1[[#This Row],[Age]]&lt;=35,"Early Career",IF(Table1[[#This Row],[Age]]&lt;=45,"Mid Career","Senior")))</f>
        <v>Mid Career</v>
      </c>
      <c r="AK244" t="str">
        <f>IF(Table1[[#This Row],[MonthlyIncome]]&lt;3000,"Low",IF(Table1[[#This Row],[MonthlyIncome]]&lt;7000,"Medium","High"))</f>
        <v>Medium</v>
      </c>
      <c r="AL24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245" spans="1:38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tr">
        <f>IF(Table1[[#This Row],[Age]]&lt;=25,"Young",IF(Table1[[#This Row],[Age]]&lt;=35,"Early Career",IF(Table1[[#This Row],[Age]]&lt;=45,"Mid Career","Senior")))</f>
        <v>Mid Career</v>
      </c>
      <c r="AK245" t="str">
        <f>IF(Table1[[#This Row],[MonthlyIncome]]&lt;3000,"Low",IF(Table1[[#This Row],[MonthlyIncome]]&lt;7000,"Medium","High"))</f>
        <v>Medium</v>
      </c>
      <c r="AL24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46" spans="1:38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tr">
        <f>IF(Table1[[#This Row],[Age]]&lt;=25,"Young",IF(Table1[[#This Row],[Age]]&lt;=35,"Early Career",IF(Table1[[#This Row],[Age]]&lt;=45,"Mid Career","Senior")))</f>
        <v>Mid Career</v>
      </c>
      <c r="AK246" t="str">
        <f>IF(Table1[[#This Row],[MonthlyIncome]]&lt;3000,"Low",IF(Table1[[#This Row],[MonthlyIncome]]&lt;7000,"Medium","High"))</f>
        <v>High</v>
      </c>
      <c r="AL246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247" spans="1:38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tr">
        <f>IF(Table1[[#This Row],[Age]]&lt;=25,"Young",IF(Table1[[#This Row],[Age]]&lt;=35,"Early Career",IF(Table1[[#This Row],[Age]]&lt;=45,"Mid Career","Senior")))</f>
        <v>Early Career</v>
      </c>
      <c r="AK247" t="str">
        <f>IF(Table1[[#This Row],[MonthlyIncome]]&lt;3000,"Low",IF(Table1[[#This Row],[MonthlyIncome]]&lt;7000,"Medium","High"))</f>
        <v>High</v>
      </c>
      <c r="AL24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248" spans="1:38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tr">
        <f>IF(Table1[[#This Row],[Age]]&lt;=25,"Young",IF(Table1[[#This Row],[Age]]&lt;=35,"Early Career",IF(Table1[[#This Row],[Age]]&lt;=45,"Mid Career","Senior")))</f>
        <v>Early Career</v>
      </c>
      <c r="AK248" t="str">
        <f>IF(Table1[[#This Row],[MonthlyIncome]]&lt;3000,"Low",IF(Table1[[#This Row],[MonthlyIncome]]&lt;7000,"Medium","High"))</f>
        <v>Low</v>
      </c>
      <c r="AL24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249" spans="1:38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tr">
        <f>IF(Table1[[#This Row],[Age]]&lt;=25,"Young",IF(Table1[[#This Row],[Age]]&lt;=35,"Early Career",IF(Table1[[#This Row],[Age]]&lt;=45,"Mid Career","Senior")))</f>
        <v>Early Career</v>
      </c>
      <c r="AK249" t="str">
        <f>IF(Table1[[#This Row],[MonthlyIncome]]&lt;3000,"Low",IF(Table1[[#This Row],[MonthlyIncome]]&lt;7000,"Medium","High"))</f>
        <v>Medium</v>
      </c>
      <c r="AL249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250" spans="1:38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tr">
        <f>IF(Table1[[#This Row],[Age]]&lt;=25,"Young",IF(Table1[[#This Row],[Age]]&lt;=35,"Early Career",IF(Table1[[#This Row],[Age]]&lt;=45,"Mid Career","Senior")))</f>
        <v>Mid Career</v>
      </c>
      <c r="AK250" t="str">
        <f>IF(Table1[[#This Row],[MonthlyIncome]]&lt;3000,"Low",IF(Table1[[#This Row],[MonthlyIncome]]&lt;7000,"Medium","High"))</f>
        <v>Medium</v>
      </c>
      <c r="AL25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51" spans="1:38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tr">
        <f>IF(Table1[[#This Row],[Age]]&lt;=25,"Young",IF(Table1[[#This Row],[Age]]&lt;=35,"Early Career",IF(Table1[[#This Row],[Age]]&lt;=45,"Mid Career","Senior")))</f>
        <v>Mid Career</v>
      </c>
      <c r="AK251" t="str">
        <f>IF(Table1[[#This Row],[MonthlyIncome]]&lt;3000,"Low",IF(Table1[[#This Row],[MonthlyIncome]]&lt;7000,"Medium","High"))</f>
        <v>Medium</v>
      </c>
      <c r="AL25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52" spans="1:38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tr">
        <f>IF(Table1[[#This Row],[Age]]&lt;=25,"Young",IF(Table1[[#This Row],[Age]]&lt;=35,"Early Career",IF(Table1[[#This Row],[Age]]&lt;=45,"Mid Career","Senior")))</f>
        <v>Mid Career</v>
      </c>
      <c r="AK252" t="str">
        <f>IF(Table1[[#This Row],[MonthlyIncome]]&lt;3000,"Low",IF(Table1[[#This Row],[MonthlyIncome]]&lt;7000,"Medium","High"))</f>
        <v>High</v>
      </c>
      <c r="AL25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253" spans="1:38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tr">
        <f>IF(Table1[[#This Row],[Age]]&lt;=25,"Young",IF(Table1[[#This Row],[Age]]&lt;=35,"Early Career",IF(Table1[[#This Row],[Age]]&lt;=45,"Mid Career","Senior")))</f>
        <v>Mid Career</v>
      </c>
      <c r="AK253" t="str">
        <f>IF(Table1[[#This Row],[MonthlyIncome]]&lt;3000,"Low",IF(Table1[[#This Row],[MonthlyIncome]]&lt;7000,"Medium","High"))</f>
        <v>High</v>
      </c>
      <c r="AL253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254" spans="1:38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tr">
        <f>IF(Table1[[#This Row],[Age]]&lt;=25,"Young",IF(Table1[[#This Row],[Age]]&lt;=35,"Early Career",IF(Table1[[#This Row],[Age]]&lt;=45,"Mid Career","Senior")))</f>
        <v>Early Career</v>
      </c>
      <c r="AK254" t="str">
        <f>IF(Table1[[#This Row],[MonthlyIncome]]&lt;3000,"Low",IF(Table1[[#This Row],[MonthlyIncome]]&lt;7000,"Medium","High"))</f>
        <v>Low</v>
      </c>
      <c r="AL25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55" spans="1:38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tr">
        <f>IF(Table1[[#This Row],[Age]]&lt;=25,"Young",IF(Table1[[#This Row],[Age]]&lt;=35,"Early Career",IF(Table1[[#This Row],[Age]]&lt;=45,"Mid Career","Senior")))</f>
        <v>Mid Career</v>
      </c>
      <c r="AK255" t="str">
        <f>IF(Table1[[#This Row],[MonthlyIncome]]&lt;3000,"Low",IF(Table1[[#This Row],[MonthlyIncome]]&lt;7000,"Medium","High"))</f>
        <v>Medium</v>
      </c>
      <c r="AL25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56" spans="1:38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tr">
        <f>IF(Table1[[#This Row],[Age]]&lt;=25,"Young",IF(Table1[[#This Row],[Age]]&lt;=35,"Early Career",IF(Table1[[#This Row],[Age]]&lt;=45,"Mid Career","Senior")))</f>
        <v>Early Career</v>
      </c>
      <c r="AK256" t="str">
        <f>IF(Table1[[#This Row],[MonthlyIncome]]&lt;3000,"Low",IF(Table1[[#This Row],[MonthlyIncome]]&lt;7000,"Medium","High"))</f>
        <v>Medium</v>
      </c>
      <c r="AL25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57" spans="1:38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tr">
        <f>IF(Table1[[#This Row],[Age]]&lt;=25,"Young",IF(Table1[[#This Row],[Age]]&lt;=35,"Early Career",IF(Table1[[#This Row],[Age]]&lt;=45,"Mid Career","Senior")))</f>
        <v>Young</v>
      </c>
      <c r="AK257" t="str">
        <f>IF(Table1[[#This Row],[MonthlyIncome]]&lt;3000,"Low",IF(Table1[[#This Row],[MonthlyIncome]]&lt;7000,"Medium","High"))</f>
        <v>Medium</v>
      </c>
      <c r="AL25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58" spans="1:38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tr">
        <f>IF(Table1[[#This Row],[Age]]&lt;=25,"Young",IF(Table1[[#This Row],[Age]]&lt;=35,"Early Career",IF(Table1[[#This Row],[Age]]&lt;=45,"Mid Career","Senior")))</f>
        <v>Mid Career</v>
      </c>
      <c r="AK258" t="str">
        <f>IF(Table1[[#This Row],[MonthlyIncome]]&lt;3000,"Low",IF(Table1[[#This Row],[MonthlyIncome]]&lt;7000,"Medium","High"))</f>
        <v>Low</v>
      </c>
      <c r="AL25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59" spans="1:38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tr">
        <f>IF(Table1[[#This Row],[Age]]&lt;=25,"Young",IF(Table1[[#This Row],[Age]]&lt;=35,"Early Career",IF(Table1[[#This Row],[Age]]&lt;=45,"Mid Career","Senior")))</f>
        <v>Mid Career</v>
      </c>
      <c r="AK259" t="str">
        <f>IF(Table1[[#This Row],[MonthlyIncome]]&lt;3000,"Low",IF(Table1[[#This Row],[MonthlyIncome]]&lt;7000,"Medium","High"))</f>
        <v>High</v>
      </c>
      <c r="AL259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260" spans="1:38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tr">
        <f>IF(Table1[[#This Row],[Age]]&lt;=25,"Young",IF(Table1[[#This Row],[Age]]&lt;=35,"Early Career",IF(Table1[[#This Row],[Age]]&lt;=45,"Mid Career","Senior")))</f>
        <v>Senior</v>
      </c>
      <c r="AK260" t="str">
        <f>IF(Table1[[#This Row],[MonthlyIncome]]&lt;3000,"Low",IF(Table1[[#This Row],[MonthlyIncome]]&lt;7000,"Medium","High"))</f>
        <v>Low</v>
      </c>
      <c r="AL26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261" spans="1:38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tr">
        <f>IF(Table1[[#This Row],[Age]]&lt;=25,"Young",IF(Table1[[#This Row],[Age]]&lt;=35,"Early Career",IF(Table1[[#This Row],[Age]]&lt;=45,"Mid Career","Senior")))</f>
        <v>Early Career</v>
      </c>
      <c r="AK261" t="str">
        <f>IF(Table1[[#This Row],[MonthlyIncome]]&lt;3000,"Low",IF(Table1[[#This Row],[MonthlyIncome]]&lt;7000,"Medium","High"))</f>
        <v>Medium</v>
      </c>
      <c r="AL26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62" spans="1:38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tr">
        <f>IF(Table1[[#This Row],[Age]]&lt;=25,"Young",IF(Table1[[#This Row],[Age]]&lt;=35,"Early Career",IF(Table1[[#This Row],[Age]]&lt;=45,"Mid Career","Senior")))</f>
        <v>Early Career</v>
      </c>
      <c r="AK262" t="str">
        <f>IF(Table1[[#This Row],[MonthlyIncome]]&lt;3000,"Low",IF(Table1[[#This Row],[MonthlyIncome]]&lt;7000,"Medium","High"))</f>
        <v>Low</v>
      </c>
      <c r="AL26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63" spans="1:38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tr">
        <f>IF(Table1[[#This Row],[Age]]&lt;=25,"Young",IF(Table1[[#This Row],[Age]]&lt;=35,"Early Career",IF(Table1[[#This Row],[Age]]&lt;=45,"Mid Career","Senior")))</f>
        <v>Mid Career</v>
      </c>
      <c r="AK263" t="str">
        <f>IF(Table1[[#This Row],[MonthlyIncome]]&lt;3000,"Low",IF(Table1[[#This Row],[MonthlyIncome]]&lt;7000,"Medium","High"))</f>
        <v>Medium</v>
      </c>
      <c r="AL26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64" spans="1:38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tr">
        <f>IF(Table1[[#This Row],[Age]]&lt;=25,"Young",IF(Table1[[#This Row],[Age]]&lt;=35,"Early Career",IF(Table1[[#This Row],[Age]]&lt;=45,"Mid Career","Senior")))</f>
        <v>Early Career</v>
      </c>
      <c r="AK264" t="str">
        <f>IF(Table1[[#This Row],[MonthlyIncome]]&lt;3000,"Low",IF(Table1[[#This Row],[MonthlyIncome]]&lt;7000,"Medium","High"))</f>
        <v>Low</v>
      </c>
      <c r="AL26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65" spans="1:38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tr">
        <f>IF(Table1[[#This Row],[Age]]&lt;=25,"Young",IF(Table1[[#This Row],[Age]]&lt;=35,"Early Career",IF(Table1[[#This Row],[Age]]&lt;=45,"Mid Career","Senior")))</f>
        <v>Senior</v>
      </c>
      <c r="AK265" t="str">
        <f>IF(Table1[[#This Row],[MonthlyIncome]]&lt;3000,"Low",IF(Table1[[#This Row],[MonthlyIncome]]&lt;7000,"Medium","High"))</f>
        <v>High</v>
      </c>
      <c r="AL26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66" spans="1:38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tr">
        <f>IF(Table1[[#This Row],[Age]]&lt;=25,"Young",IF(Table1[[#This Row],[Age]]&lt;=35,"Early Career",IF(Table1[[#This Row],[Age]]&lt;=45,"Mid Career","Senior")))</f>
        <v>Early Career</v>
      </c>
      <c r="AK266" t="str">
        <f>IF(Table1[[#This Row],[MonthlyIncome]]&lt;3000,"Low",IF(Table1[[#This Row],[MonthlyIncome]]&lt;7000,"Medium","High"))</f>
        <v>Medium</v>
      </c>
      <c r="AL266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267" spans="1:38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tr">
        <f>IF(Table1[[#This Row],[Age]]&lt;=25,"Young",IF(Table1[[#This Row],[Age]]&lt;=35,"Early Career",IF(Table1[[#This Row],[Age]]&lt;=45,"Mid Career","Senior")))</f>
        <v>Early Career</v>
      </c>
      <c r="AK267" t="str">
        <f>IF(Table1[[#This Row],[MonthlyIncome]]&lt;3000,"Low",IF(Table1[[#This Row],[MonthlyIncome]]&lt;7000,"Medium","High"))</f>
        <v>Medium</v>
      </c>
      <c r="AL26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268" spans="1:38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tr">
        <f>IF(Table1[[#This Row],[Age]]&lt;=25,"Young",IF(Table1[[#This Row],[Age]]&lt;=35,"Early Career",IF(Table1[[#This Row],[Age]]&lt;=45,"Mid Career","Senior")))</f>
        <v>Early Career</v>
      </c>
      <c r="AK268" t="str">
        <f>IF(Table1[[#This Row],[MonthlyIncome]]&lt;3000,"Low",IF(Table1[[#This Row],[MonthlyIncome]]&lt;7000,"Medium","High"))</f>
        <v>Medium</v>
      </c>
      <c r="AL26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69" spans="1:38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tr">
        <f>IF(Table1[[#This Row],[Age]]&lt;=25,"Young",IF(Table1[[#This Row],[Age]]&lt;=35,"Early Career",IF(Table1[[#This Row],[Age]]&lt;=45,"Mid Career","Senior")))</f>
        <v>Young</v>
      </c>
      <c r="AK269" t="str">
        <f>IF(Table1[[#This Row],[MonthlyIncome]]&lt;3000,"Low",IF(Table1[[#This Row],[MonthlyIncome]]&lt;7000,"Medium","High"))</f>
        <v>Medium</v>
      </c>
      <c r="AL269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70" spans="1:38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tr">
        <f>IF(Table1[[#This Row],[Age]]&lt;=25,"Young",IF(Table1[[#This Row],[Age]]&lt;=35,"Early Career",IF(Table1[[#This Row],[Age]]&lt;=45,"Mid Career","Senior")))</f>
        <v>Mid Career</v>
      </c>
      <c r="AK270" t="str">
        <f>IF(Table1[[#This Row],[MonthlyIncome]]&lt;3000,"Low",IF(Table1[[#This Row],[MonthlyIncome]]&lt;7000,"Medium","High"))</f>
        <v>High</v>
      </c>
      <c r="AL270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271" spans="1:38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tr">
        <f>IF(Table1[[#This Row],[Age]]&lt;=25,"Young",IF(Table1[[#This Row],[Age]]&lt;=35,"Early Career",IF(Table1[[#This Row],[Age]]&lt;=45,"Mid Career","Senior")))</f>
        <v>Mid Career</v>
      </c>
      <c r="AK271" t="str">
        <f>IF(Table1[[#This Row],[MonthlyIncome]]&lt;3000,"Low",IF(Table1[[#This Row],[MonthlyIncome]]&lt;7000,"Medium","High"))</f>
        <v>Medium</v>
      </c>
      <c r="AL271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272" spans="1:38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tr">
        <f>IF(Table1[[#This Row],[Age]]&lt;=25,"Young",IF(Table1[[#This Row],[Age]]&lt;=35,"Early Career",IF(Table1[[#This Row],[Age]]&lt;=45,"Mid Career","Senior")))</f>
        <v>Senior</v>
      </c>
      <c r="AK272" t="str">
        <f>IF(Table1[[#This Row],[MonthlyIncome]]&lt;3000,"Low",IF(Table1[[#This Row],[MonthlyIncome]]&lt;7000,"Medium","High"))</f>
        <v>High</v>
      </c>
      <c r="AL272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273" spans="1:38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tr">
        <f>IF(Table1[[#This Row],[Age]]&lt;=25,"Young",IF(Table1[[#This Row],[Age]]&lt;=35,"Early Career",IF(Table1[[#This Row],[Age]]&lt;=45,"Mid Career","Senior")))</f>
        <v>Senior</v>
      </c>
      <c r="AK273" t="str">
        <f>IF(Table1[[#This Row],[MonthlyIncome]]&lt;3000,"Low",IF(Table1[[#This Row],[MonthlyIncome]]&lt;7000,"Medium","High"))</f>
        <v>High</v>
      </c>
      <c r="AL27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74" spans="1:38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tr">
        <f>IF(Table1[[#This Row],[Age]]&lt;=25,"Young",IF(Table1[[#This Row],[Age]]&lt;=35,"Early Career",IF(Table1[[#This Row],[Age]]&lt;=45,"Mid Career","Senior")))</f>
        <v>Early Career</v>
      </c>
      <c r="AK274" t="str">
        <f>IF(Table1[[#This Row],[MonthlyIncome]]&lt;3000,"Low",IF(Table1[[#This Row],[MonthlyIncome]]&lt;7000,"Medium","High"))</f>
        <v>Low</v>
      </c>
      <c r="AL27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75" spans="1:38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tr">
        <f>IF(Table1[[#This Row],[Age]]&lt;=25,"Young",IF(Table1[[#This Row],[Age]]&lt;=35,"Early Career",IF(Table1[[#This Row],[Age]]&lt;=45,"Mid Career","Senior")))</f>
        <v>Mid Career</v>
      </c>
      <c r="AK275" t="str">
        <f>IF(Table1[[#This Row],[MonthlyIncome]]&lt;3000,"Low",IF(Table1[[#This Row],[MonthlyIncome]]&lt;7000,"Medium","High"))</f>
        <v>Medium</v>
      </c>
      <c r="AL27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76" spans="1:38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tr">
        <f>IF(Table1[[#This Row],[Age]]&lt;=25,"Young",IF(Table1[[#This Row],[Age]]&lt;=35,"Early Career",IF(Table1[[#This Row],[Age]]&lt;=45,"Mid Career","Senior")))</f>
        <v>Young</v>
      </c>
      <c r="AK276" t="str">
        <f>IF(Table1[[#This Row],[MonthlyIncome]]&lt;3000,"Low",IF(Table1[[#This Row],[MonthlyIncome]]&lt;7000,"Medium","High"))</f>
        <v>Medium</v>
      </c>
      <c r="AL27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77" spans="1:38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tr">
        <f>IF(Table1[[#This Row],[Age]]&lt;=25,"Young",IF(Table1[[#This Row],[Age]]&lt;=35,"Early Career",IF(Table1[[#This Row],[Age]]&lt;=45,"Mid Career","Senior")))</f>
        <v>Mid Career</v>
      </c>
      <c r="AK277" t="str">
        <f>IF(Table1[[#This Row],[MonthlyIncome]]&lt;3000,"Low",IF(Table1[[#This Row],[MonthlyIncome]]&lt;7000,"Medium","High"))</f>
        <v>High</v>
      </c>
      <c r="AL27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78" spans="1:38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tr">
        <f>IF(Table1[[#This Row],[Age]]&lt;=25,"Young",IF(Table1[[#This Row],[Age]]&lt;=35,"Early Career",IF(Table1[[#This Row],[Age]]&lt;=45,"Mid Career","Senior")))</f>
        <v>Early Career</v>
      </c>
      <c r="AK278" t="str">
        <f>IF(Table1[[#This Row],[MonthlyIncome]]&lt;3000,"Low",IF(Table1[[#This Row],[MonthlyIncome]]&lt;7000,"Medium","High"))</f>
        <v>High</v>
      </c>
      <c r="AL27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79" spans="1:38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tr">
        <f>IF(Table1[[#This Row],[Age]]&lt;=25,"Young",IF(Table1[[#This Row],[Age]]&lt;=35,"Early Career",IF(Table1[[#This Row],[Age]]&lt;=45,"Mid Career","Senior")))</f>
        <v>Mid Career</v>
      </c>
      <c r="AK279" t="str">
        <f>IF(Table1[[#This Row],[MonthlyIncome]]&lt;3000,"Low",IF(Table1[[#This Row],[MonthlyIncome]]&lt;7000,"Medium","High"))</f>
        <v>Medium</v>
      </c>
      <c r="AL279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80" spans="1:38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tr">
        <f>IF(Table1[[#This Row],[Age]]&lt;=25,"Young",IF(Table1[[#This Row],[Age]]&lt;=35,"Early Career",IF(Table1[[#This Row],[Age]]&lt;=45,"Mid Career","Senior")))</f>
        <v>Early Career</v>
      </c>
      <c r="AK280" t="str">
        <f>IF(Table1[[#This Row],[MonthlyIncome]]&lt;3000,"Low",IF(Table1[[#This Row],[MonthlyIncome]]&lt;7000,"Medium","High"))</f>
        <v>Medium</v>
      </c>
      <c r="AL28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81" spans="1:38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tr">
        <f>IF(Table1[[#This Row],[Age]]&lt;=25,"Young",IF(Table1[[#This Row],[Age]]&lt;=35,"Early Career",IF(Table1[[#This Row],[Age]]&lt;=45,"Mid Career","Senior")))</f>
        <v>Senior</v>
      </c>
      <c r="AK281" t="str">
        <f>IF(Table1[[#This Row],[MonthlyIncome]]&lt;3000,"Low",IF(Table1[[#This Row],[MonthlyIncome]]&lt;7000,"Medium","High"))</f>
        <v>High</v>
      </c>
      <c r="AL28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82" spans="1:38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tr">
        <f>IF(Table1[[#This Row],[Age]]&lt;=25,"Young",IF(Table1[[#This Row],[Age]]&lt;=35,"Early Career",IF(Table1[[#This Row],[Age]]&lt;=45,"Mid Career","Senior")))</f>
        <v>Senior</v>
      </c>
      <c r="AK282" t="str">
        <f>IF(Table1[[#This Row],[MonthlyIncome]]&lt;3000,"Low",IF(Table1[[#This Row],[MonthlyIncome]]&lt;7000,"Medium","High"))</f>
        <v>High</v>
      </c>
      <c r="AL28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83" spans="1:38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tr">
        <f>IF(Table1[[#This Row],[Age]]&lt;=25,"Young",IF(Table1[[#This Row],[Age]]&lt;=35,"Early Career",IF(Table1[[#This Row],[Age]]&lt;=45,"Mid Career","Senior")))</f>
        <v>Mid Career</v>
      </c>
      <c r="AK283" t="str">
        <f>IF(Table1[[#This Row],[MonthlyIncome]]&lt;3000,"Low",IF(Table1[[#This Row],[MonthlyIncome]]&lt;7000,"Medium","High"))</f>
        <v>Medium</v>
      </c>
      <c r="AL283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284" spans="1:38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tr">
        <f>IF(Table1[[#This Row],[Age]]&lt;=25,"Young",IF(Table1[[#This Row],[Age]]&lt;=35,"Early Career",IF(Table1[[#This Row],[Age]]&lt;=45,"Mid Career","Senior")))</f>
        <v>Early Career</v>
      </c>
      <c r="AK284" t="str">
        <f>IF(Table1[[#This Row],[MonthlyIncome]]&lt;3000,"Low",IF(Table1[[#This Row],[MonthlyIncome]]&lt;7000,"Medium","High"))</f>
        <v>Medium</v>
      </c>
      <c r="AL28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85" spans="1:38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tr">
        <f>IF(Table1[[#This Row],[Age]]&lt;=25,"Young",IF(Table1[[#This Row],[Age]]&lt;=35,"Early Career",IF(Table1[[#This Row],[Age]]&lt;=45,"Mid Career","Senior")))</f>
        <v>Senior</v>
      </c>
      <c r="AK285" t="str">
        <f>IF(Table1[[#This Row],[MonthlyIncome]]&lt;3000,"Low",IF(Table1[[#This Row],[MonthlyIncome]]&lt;7000,"Medium","High"))</f>
        <v>Medium</v>
      </c>
      <c r="AL28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86" spans="1:38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tr">
        <f>IF(Table1[[#This Row],[Age]]&lt;=25,"Young",IF(Table1[[#This Row],[Age]]&lt;=35,"Early Career",IF(Table1[[#This Row],[Age]]&lt;=45,"Mid Career","Senior")))</f>
        <v>Early Career</v>
      </c>
      <c r="AK286" t="str">
        <f>IF(Table1[[#This Row],[MonthlyIncome]]&lt;3000,"Low",IF(Table1[[#This Row],[MonthlyIncome]]&lt;7000,"Medium","High"))</f>
        <v>Medium</v>
      </c>
      <c r="AL28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87" spans="1:38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tr">
        <f>IF(Table1[[#This Row],[Age]]&lt;=25,"Young",IF(Table1[[#This Row],[Age]]&lt;=35,"Early Career",IF(Table1[[#This Row],[Age]]&lt;=45,"Mid Career","Senior")))</f>
        <v>Mid Career</v>
      </c>
      <c r="AK287" t="str">
        <f>IF(Table1[[#This Row],[MonthlyIncome]]&lt;3000,"Low",IF(Table1[[#This Row],[MonthlyIncome]]&lt;7000,"Medium","High"))</f>
        <v>Low</v>
      </c>
      <c r="AL287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288" spans="1:38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tr">
        <f>IF(Table1[[#This Row],[Age]]&lt;=25,"Young",IF(Table1[[#This Row],[Age]]&lt;=35,"Early Career",IF(Table1[[#This Row],[Age]]&lt;=45,"Mid Career","Senior")))</f>
        <v>Mid Career</v>
      </c>
      <c r="AK288" t="str">
        <f>IF(Table1[[#This Row],[MonthlyIncome]]&lt;3000,"Low",IF(Table1[[#This Row],[MonthlyIncome]]&lt;7000,"Medium","High"))</f>
        <v>Medium</v>
      </c>
      <c r="AL28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289" spans="1:38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tr">
        <f>IF(Table1[[#This Row],[Age]]&lt;=25,"Young",IF(Table1[[#This Row],[Age]]&lt;=35,"Early Career",IF(Table1[[#This Row],[Age]]&lt;=45,"Mid Career","Senior")))</f>
        <v>Mid Career</v>
      </c>
      <c r="AK289" t="str">
        <f>IF(Table1[[#This Row],[MonthlyIncome]]&lt;3000,"Low",IF(Table1[[#This Row],[MonthlyIncome]]&lt;7000,"Medium","High"))</f>
        <v>Medium</v>
      </c>
      <c r="AL28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290" spans="1:38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tr">
        <f>IF(Table1[[#This Row],[Age]]&lt;=25,"Young",IF(Table1[[#This Row],[Age]]&lt;=35,"Early Career",IF(Table1[[#This Row],[Age]]&lt;=45,"Mid Career","Senior")))</f>
        <v>Early Career</v>
      </c>
      <c r="AK290" t="str">
        <f>IF(Table1[[#This Row],[MonthlyIncome]]&lt;3000,"Low",IF(Table1[[#This Row],[MonthlyIncome]]&lt;7000,"Medium","High"))</f>
        <v>Low</v>
      </c>
      <c r="AL29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91" spans="1:38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tr">
        <f>IF(Table1[[#This Row],[Age]]&lt;=25,"Young",IF(Table1[[#This Row],[Age]]&lt;=35,"Early Career",IF(Table1[[#This Row],[Age]]&lt;=45,"Mid Career","Senior")))</f>
        <v>Early Career</v>
      </c>
      <c r="AK291" t="str">
        <f>IF(Table1[[#This Row],[MonthlyIncome]]&lt;3000,"Low",IF(Table1[[#This Row],[MonthlyIncome]]&lt;7000,"Medium","High"))</f>
        <v>Medium</v>
      </c>
      <c r="AL29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92" spans="1:38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tr">
        <f>IF(Table1[[#This Row],[Age]]&lt;=25,"Young",IF(Table1[[#This Row],[Age]]&lt;=35,"Early Career",IF(Table1[[#This Row],[Age]]&lt;=45,"Mid Career","Senior")))</f>
        <v>Senior</v>
      </c>
      <c r="AK292" t="str">
        <f>IF(Table1[[#This Row],[MonthlyIncome]]&lt;3000,"Low",IF(Table1[[#This Row],[MonthlyIncome]]&lt;7000,"Medium","High"))</f>
        <v>High</v>
      </c>
      <c r="AL29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93" spans="1:38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tr">
        <f>IF(Table1[[#This Row],[Age]]&lt;=25,"Young",IF(Table1[[#This Row],[Age]]&lt;=35,"Early Career",IF(Table1[[#This Row],[Age]]&lt;=45,"Mid Career","Senior")))</f>
        <v>Mid Career</v>
      </c>
      <c r="AK293" t="str">
        <f>IF(Table1[[#This Row],[MonthlyIncome]]&lt;3000,"Low",IF(Table1[[#This Row],[MonthlyIncome]]&lt;7000,"Medium","High"))</f>
        <v>Medium</v>
      </c>
      <c r="AL29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94" spans="1:38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tr">
        <f>IF(Table1[[#This Row],[Age]]&lt;=25,"Young",IF(Table1[[#This Row],[Age]]&lt;=35,"Early Career",IF(Table1[[#This Row],[Age]]&lt;=45,"Mid Career","Senior")))</f>
        <v>Early Career</v>
      </c>
      <c r="AK294" t="str">
        <f>IF(Table1[[#This Row],[MonthlyIncome]]&lt;3000,"Low",IF(Table1[[#This Row],[MonthlyIncome]]&lt;7000,"Medium","High"))</f>
        <v>Low</v>
      </c>
      <c r="AL29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295" spans="1:38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tr">
        <f>IF(Table1[[#This Row],[Age]]&lt;=25,"Young",IF(Table1[[#This Row],[Age]]&lt;=35,"Early Career",IF(Table1[[#This Row],[Age]]&lt;=45,"Mid Career","Senior")))</f>
        <v>Early Career</v>
      </c>
      <c r="AK295" t="str">
        <f>IF(Table1[[#This Row],[MonthlyIncome]]&lt;3000,"Low",IF(Table1[[#This Row],[MonthlyIncome]]&lt;7000,"Medium","High"))</f>
        <v>Medium</v>
      </c>
      <c r="AL29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296" spans="1:38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tr">
        <f>IF(Table1[[#This Row],[Age]]&lt;=25,"Young",IF(Table1[[#This Row],[Age]]&lt;=35,"Early Career",IF(Table1[[#This Row],[Age]]&lt;=45,"Mid Career","Senior")))</f>
        <v>Mid Career</v>
      </c>
      <c r="AK296" t="str">
        <f>IF(Table1[[#This Row],[MonthlyIncome]]&lt;3000,"Low",IF(Table1[[#This Row],[MonthlyIncome]]&lt;7000,"Medium","High"))</f>
        <v>Low</v>
      </c>
      <c r="AL29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297" spans="1:38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tr">
        <f>IF(Table1[[#This Row],[Age]]&lt;=25,"Young",IF(Table1[[#This Row],[Age]]&lt;=35,"Early Career",IF(Table1[[#This Row],[Age]]&lt;=45,"Mid Career","Senior")))</f>
        <v>Mid Career</v>
      </c>
      <c r="AK297" t="str">
        <f>IF(Table1[[#This Row],[MonthlyIncome]]&lt;3000,"Low",IF(Table1[[#This Row],[MonthlyIncome]]&lt;7000,"Medium","High"))</f>
        <v>High</v>
      </c>
      <c r="AL297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298" spans="1:38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tr">
        <f>IF(Table1[[#This Row],[Age]]&lt;=25,"Young",IF(Table1[[#This Row],[Age]]&lt;=35,"Early Career",IF(Table1[[#This Row],[Age]]&lt;=45,"Mid Career","Senior")))</f>
        <v>Young</v>
      </c>
      <c r="AK298" t="str">
        <f>IF(Table1[[#This Row],[MonthlyIncome]]&lt;3000,"Low",IF(Table1[[#This Row],[MonthlyIncome]]&lt;7000,"Medium","High"))</f>
        <v>Low</v>
      </c>
      <c r="AL29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299" spans="1:38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tr">
        <f>IF(Table1[[#This Row],[Age]]&lt;=25,"Young",IF(Table1[[#This Row],[Age]]&lt;=35,"Early Career",IF(Table1[[#This Row],[Age]]&lt;=45,"Mid Career","Senior")))</f>
        <v>Early Career</v>
      </c>
      <c r="AK299" t="str">
        <f>IF(Table1[[#This Row],[MonthlyIncome]]&lt;3000,"Low",IF(Table1[[#This Row],[MonthlyIncome]]&lt;7000,"Medium","High"))</f>
        <v>High</v>
      </c>
      <c r="AL299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300" spans="1:38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tr">
        <f>IF(Table1[[#This Row],[Age]]&lt;=25,"Young",IF(Table1[[#This Row],[Age]]&lt;=35,"Early Career",IF(Table1[[#This Row],[Age]]&lt;=45,"Mid Career","Senior")))</f>
        <v>Mid Career</v>
      </c>
      <c r="AK300" t="str">
        <f>IF(Table1[[#This Row],[MonthlyIncome]]&lt;3000,"Low",IF(Table1[[#This Row],[MonthlyIncome]]&lt;7000,"Medium","High"))</f>
        <v>Medium</v>
      </c>
      <c r="AL30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301" spans="1:38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tr">
        <f>IF(Table1[[#This Row],[Age]]&lt;=25,"Young",IF(Table1[[#This Row],[Age]]&lt;=35,"Early Career",IF(Table1[[#This Row],[Age]]&lt;=45,"Mid Career","Senior")))</f>
        <v>Senior</v>
      </c>
      <c r="AK301" t="str">
        <f>IF(Table1[[#This Row],[MonthlyIncome]]&lt;3000,"Low",IF(Table1[[#This Row],[MonthlyIncome]]&lt;7000,"Medium","High"))</f>
        <v>Medium</v>
      </c>
      <c r="AL30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02" spans="1:38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tr">
        <f>IF(Table1[[#This Row],[Age]]&lt;=25,"Young",IF(Table1[[#This Row],[Age]]&lt;=35,"Early Career",IF(Table1[[#This Row],[Age]]&lt;=45,"Mid Career","Senior")))</f>
        <v>Mid Career</v>
      </c>
      <c r="AK302" t="str">
        <f>IF(Table1[[#This Row],[MonthlyIncome]]&lt;3000,"Low",IF(Table1[[#This Row],[MonthlyIncome]]&lt;7000,"Medium","High"))</f>
        <v>High</v>
      </c>
      <c r="AL302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303" spans="1:38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tr">
        <f>IF(Table1[[#This Row],[Age]]&lt;=25,"Young",IF(Table1[[#This Row],[Age]]&lt;=35,"Early Career",IF(Table1[[#This Row],[Age]]&lt;=45,"Mid Career","Senior")))</f>
        <v>Young</v>
      </c>
      <c r="AK303" t="str">
        <f>IF(Table1[[#This Row],[MonthlyIncome]]&lt;3000,"Low",IF(Table1[[#This Row],[MonthlyIncome]]&lt;7000,"Medium","High"))</f>
        <v>Low</v>
      </c>
      <c r="AL30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304" spans="1:38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tr">
        <f>IF(Table1[[#This Row],[Age]]&lt;=25,"Young",IF(Table1[[#This Row],[Age]]&lt;=35,"Early Career",IF(Table1[[#This Row],[Age]]&lt;=45,"Mid Career","Senior")))</f>
        <v>Early Career</v>
      </c>
      <c r="AK304" t="str">
        <f>IF(Table1[[#This Row],[MonthlyIncome]]&lt;3000,"Low",IF(Table1[[#This Row],[MonthlyIncome]]&lt;7000,"Medium","High"))</f>
        <v>Medium</v>
      </c>
      <c r="AL30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305" spans="1:38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tr">
        <f>IF(Table1[[#This Row],[Age]]&lt;=25,"Young",IF(Table1[[#This Row],[Age]]&lt;=35,"Early Career",IF(Table1[[#This Row],[Age]]&lt;=45,"Mid Career","Senior")))</f>
        <v>Early Career</v>
      </c>
      <c r="AK305" t="str">
        <f>IF(Table1[[#This Row],[MonthlyIncome]]&lt;3000,"Low",IF(Table1[[#This Row],[MonthlyIncome]]&lt;7000,"Medium","High"))</f>
        <v>Medium</v>
      </c>
      <c r="AL30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306" spans="1:38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tr">
        <f>IF(Table1[[#This Row],[Age]]&lt;=25,"Young",IF(Table1[[#This Row],[Age]]&lt;=35,"Early Career",IF(Table1[[#This Row],[Age]]&lt;=45,"Mid Career","Senior")))</f>
        <v>Mid Career</v>
      </c>
      <c r="AK306" t="str">
        <f>IF(Table1[[#This Row],[MonthlyIncome]]&lt;3000,"Low",IF(Table1[[#This Row],[MonthlyIncome]]&lt;7000,"Medium","High"))</f>
        <v>High</v>
      </c>
      <c r="AL306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307" spans="1:38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tr">
        <f>IF(Table1[[#This Row],[Age]]&lt;=25,"Young",IF(Table1[[#This Row],[Age]]&lt;=35,"Early Career",IF(Table1[[#This Row],[Age]]&lt;=45,"Mid Career","Senior")))</f>
        <v>Mid Career</v>
      </c>
      <c r="AK307" t="str">
        <f>IF(Table1[[#This Row],[MonthlyIncome]]&lt;3000,"Low",IF(Table1[[#This Row],[MonthlyIncome]]&lt;7000,"Medium","High"))</f>
        <v>Medium</v>
      </c>
      <c r="AL30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308" spans="1:38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tr">
        <f>IF(Table1[[#This Row],[Age]]&lt;=25,"Young",IF(Table1[[#This Row],[Age]]&lt;=35,"Early Career",IF(Table1[[#This Row],[Age]]&lt;=45,"Mid Career","Senior")))</f>
        <v>Early Career</v>
      </c>
      <c r="AK308" t="str">
        <f>IF(Table1[[#This Row],[MonthlyIncome]]&lt;3000,"Low",IF(Table1[[#This Row],[MonthlyIncome]]&lt;7000,"Medium","High"))</f>
        <v>Medium</v>
      </c>
      <c r="AL308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309" spans="1:38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tr">
        <f>IF(Table1[[#This Row],[Age]]&lt;=25,"Young",IF(Table1[[#This Row],[Age]]&lt;=35,"Early Career",IF(Table1[[#This Row],[Age]]&lt;=45,"Mid Career","Senior")))</f>
        <v>Mid Career</v>
      </c>
      <c r="AK309" t="str">
        <f>IF(Table1[[#This Row],[MonthlyIncome]]&lt;3000,"Low",IF(Table1[[#This Row],[MonthlyIncome]]&lt;7000,"Medium","High"))</f>
        <v>High</v>
      </c>
      <c r="AL309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310" spans="1:38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tr">
        <f>IF(Table1[[#This Row],[Age]]&lt;=25,"Young",IF(Table1[[#This Row],[Age]]&lt;=35,"Early Career",IF(Table1[[#This Row],[Age]]&lt;=45,"Mid Career","Senior")))</f>
        <v>Senior</v>
      </c>
      <c r="AK310" t="str">
        <f>IF(Table1[[#This Row],[MonthlyIncome]]&lt;3000,"Low",IF(Table1[[#This Row],[MonthlyIncome]]&lt;7000,"Medium","High"))</f>
        <v>Medium</v>
      </c>
      <c r="AL31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11" spans="1:38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tr">
        <f>IF(Table1[[#This Row],[Age]]&lt;=25,"Young",IF(Table1[[#This Row],[Age]]&lt;=35,"Early Career",IF(Table1[[#This Row],[Age]]&lt;=45,"Mid Career","Senior")))</f>
        <v>Early Career</v>
      </c>
      <c r="AK311" t="str">
        <f>IF(Table1[[#This Row],[MonthlyIncome]]&lt;3000,"Low",IF(Table1[[#This Row],[MonthlyIncome]]&lt;7000,"Medium","High"))</f>
        <v>Medium</v>
      </c>
      <c r="AL31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12" spans="1:38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tr">
        <f>IF(Table1[[#This Row],[Age]]&lt;=25,"Young",IF(Table1[[#This Row],[Age]]&lt;=35,"Early Career",IF(Table1[[#This Row],[Age]]&lt;=45,"Mid Career","Senior")))</f>
        <v>Early Career</v>
      </c>
      <c r="AK312" t="str">
        <f>IF(Table1[[#This Row],[MonthlyIncome]]&lt;3000,"Low",IF(Table1[[#This Row],[MonthlyIncome]]&lt;7000,"Medium","High"))</f>
        <v>Medium</v>
      </c>
      <c r="AL31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313" spans="1:38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tr">
        <f>IF(Table1[[#This Row],[Age]]&lt;=25,"Young",IF(Table1[[#This Row],[Age]]&lt;=35,"Early Career",IF(Table1[[#This Row],[Age]]&lt;=45,"Mid Career","Senior")))</f>
        <v>Mid Career</v>
      </c>
      <c r="AK313" t="str">
        <f>IF(Table1[[#This Row],[MonthlyIncome]]&lt;3000,"Low",IF(Table1[[#This Row],[MonthlyIncome]]&lt;7000,"Medium","High"))</f>
        <v>Medium</v>
      </c>
      <c r="AL313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314" spans="1:38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tr">
        <f>IF(Table1[[#This Row],[Age]]&lt;=25,"Young",IF(Table1[[#This Row],[Age]]&lt;=35,"Early Career",IF(Table1[[#This Row],[Age]]&lt;=45,"Mid Career","Senior")))</f>
        <v>Early Career</v>
      </c>
      <c r="AK314" t="str">
        <f>IF(Table1[[#This Row],[MonthlyIncome]]&lt;3000,"Low",IF(Table1[[#This Row],[MonthlyIncome]]&lt;7000,"Medium","High"))</f>
        <v>Low</v>
      </c>
      <c r="AL31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315" spans="1:38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tr">
        <f>IF(Table1[[#This Row],[Age]]&lt;=25,"Young",IF(Table1[[#This Row],[Age]]&lt;=35,"Early Career",IF(Table1[[#This Row],[Age]]&lt;=45,"Mid Career","Senior")))</f>
        <v>Early Career</v>
      </c>
      <c r="AK315" t="str">
        <f>IF(Table1[[#This Row],[MonthlyIncome]]&lt;3000,"Low",IF(Table1[[#This Row],[MonthlyIncome]]&lt;7000,"Medium","High"))</f>
        <v>High</v>
      </c>
      <c r="AL31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316" spans="1:38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tr">
        <f>IF(Table1[[#This Row],[Age]]&lt;=25,"Young",IF(Table1[[#This Row],[Age]]&lt;=35,"Early Career",IF(Table1[[#This Row],[Age]]&lt;=45,"Mid Career","Senior")))</f>
        <v>Mid Career</v>
      </c>
      <c r="AK316" t="str">
        <f>IF(Table1[[#This Row],[MonthlyIncome]]&lt;3000,"Low",IF(Table1[[#This Row],[MonthlyIncome]]&lt;7000,"Medium","High"))</f>
        <v>High</v>
      </c>
      <c r="AL316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317" spans="1:38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tr">
        <f>IF(Table1[[#This Row],[Age]]&lt;=25,"Young",IF(Table1[[#This Row],[Age]]&lt;=35,"Early Career",IF(Table1[[#This Row],[Age]]&lt;=45,"Mid Career","Senior")))</f>
        <v>Mid Career</v>
      </c>
      <c r="AK317" t="str">
        <f>IF(Table1[[#This Row],[MonthlyIncome]]&lt;3000,"Low",IF(Table1[[#This Row],[MonthlyIncome]]&lt;7000,"Medium","High"))</f>
        <v>Low</v>
      </c>
      <c r="AL31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318" spans="1:38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tr">
        <f>IF(Table1[[#This Row],[Age]]&lt;=25,"Young",IF(Table1[[#This Row],[Age]]&lt;=35,"Early Career",IF(Table1[[#This Row],[Age]]&lt;=45,"Mid Career","Senior")))</f>
        <v>Senior</v>
      </c>
      <c r="AK318" t="str">
        <f>IF(Table1[[#This Row],[MonthlyIncome]]&lt;3000,"Low",IF(Table1[[#This Row],[MonthlyIncome]]&lt;7000,"Medium","High"))</f>
        <v>High</v>
      </c>
      <c r="AL31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319" spans="1:38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tr">
        <f>IF(Table1[[#This Row],[Age]]&lt;=25,"Young",IF(Table1[[#This Row],[Age]]&lt;=35,"Early Career",IF(Table1[[#This Row],[Age]]&lt;=45,"Mid Career","Senior")))</f>
        <v>Senior</v>
      </c>
      <c r="AK319" t="str">
        <f>IF(Table1[[#This Row],[MonthlyIncome]]&lt;3000,"Low",IF(Table1[[#This Row],[MonthlyIncome]]&lt;7000,"Medium","High"))</f>
        <v>Medium</v>
      </c>
      <c r="AL319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320" spans="1:38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tr">
        <f>IF(Table1[[#This Row],[Age]]&lt;=25,"Young",IF(Table1[[#This Row],[Age]]&lt;=35,"Early Career",IF(Table1[[#This Row],[Age]]&lt;=45,"Mid Career","Senior")))</f>
        <v>Early Career</v>
      </c>
      <c r="AK320" t="str">
        <f>IF(Table1[[#This Row],[MonthlyIncome]]&lt;3000,"Low",IF(Table1[[#This Row],[MonthlyIncome]]&lt;7000,"Medium","High"))</f>
        <v>Low</v>
      </c>
      <c r="AL32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21" spans="1:38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tr">
        <f>IF(Table1[[#This Row],[Age]]&lt;=25,"Young",IF(Table1[[#This Row],[Age]]&lt;=35,"Early Career",IF(Table1[[#This Row],[Age]]&lt;=45,"Mid Career","Senior")))</f>
        <v>Early Career</v>
      </c>
      <c r="AK321" t="str">
        <f>IF(Table1[[#This Row],[MonthlyIncome]]&lt;3000,"Low",IF(Table1[[#This Row],[MonthlyIncome]]&lt;7000,"Medium","High"))</f>
        <v>Medium</v>
      </c>
      <c r="AL321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322" spans="1:38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tr">
        <f>IF(Table1[[#This Row],[Age]]&lt;=25,"Young",IF(Table1[[#This Row],[Age]]&lt;=35,"Early Career",IF(Table1[[#This Row],[Age]]&lt;=45,"Mid Career","Senior")))</f>
        <v>Early Career</v>
      </c>
      <c r="AK322" t="str">
        <f>IF(Table1[[#This Row],[MonthlyIncome]]&lt;3000,"Low",IF(Table1[[#This Row],[MonthlyIncome]]&lt;7000,"Medium","High"))</f>
        <v>Medium</v>
      </c>
      <c r="AL32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23" spans="1:38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tr">
        <f>IF(Table1[[#This Row],[Age]]&lt;=25,"Young",IF(Table1[[#This Row],[Age]]&lt;=35,"Early Career",IF(Table1[[#This Row],[Age]]&lt;=45,"Mid Career","Senior")))</f>
        <v>Early Career</v>
      </c>
      <c r="AK323" t="str">
        <f>IF(Table1[[#This Row],[MonthlyIncome]]&lt;3000,"Low",IF(Table1[[#This Row],[MonthlyIncome]]&lt;7000,"Medium","High"))</f>
        <v>High</v>
      </c>
      <c r="AL32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324" spans="1:38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tr">
        <f>IF(Table1[[#This Row],[Age]]&lt;=25,"Young",IF(Table1[[#This Row],[Age]]&lt;=35,"Early Career",IF(Table1[[#This Row],[Age]]&lt;=45,"Mid Career","Senior")))</f>
        <v>Early Career</v>
      </c>
      <c r="AK324" t="str">
        <f>IF(Table1[[#This Row],[MonthlyIncome]]&lt;3000,"Low",IF(Table1[[#This Row],[MonthlyIncome]]&lt;7000,"Medium","High"))</f>
        <v>Medium</v>
      </c>
      <c r="AL32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325" spans="1:38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tr">
        <f>IF(Table1[[#This Row],[Age]]&lt;=25,"Young",IF(Table1[[#This Row],[Age]]&lt;=35,"Early Career",IF(Table1[[#This Row],[Age]]&lt;=45,"Mid Career","Senior")))</f>
        <v>Early Career</v>
      </c>
      <c r="AK325" t="str">
        <f>IF(Table1[[#This Row],[MonthlyIncome]]&lt;3000,"Low",IF(Table1[[#This Row],[MonthlyIncome]]&lt;7000,"Medium","High"))</f>
        <v>Medium</v>
      </c>
      <c r="AL32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26" spans="1:38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tr">
        <f>IF(Table1[[#This Row],[Age]]&lt;=25,"Young",IF(Table1[[#This Row],[Age]]&lt;=35,"Early Career",IF(Table1[[#This Row],[Age]]&lt;=45,"Mid Career","Senior")))</f>
        <v>Early Career</v>
      </c>
      <c r="AK326" t="str">
        <f>IF(Table1[[#This Row],[MonthlyIncome]]&lt;3000,"Low",IF(Table1[[#This Row],[MonthlyIncome]]&lt;7000,"Medium","High"))</f>
        <v>Medium</v>
      </c>
      <c r="AL32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327" spans="1:38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tr">
        <f>IF(Table1[[#This Row],[Age]]&lt;=25,"Young",IF(Table1[[#This Row],[Age]]&lt;=35,"Early Career",IF(Table1[[#This Row],[Age]]&lt;=45,"Mid Career","Senior")))</f>
        <v>Early Career</v>
      </c>
      <c r="AK327" t="str">
        <f>IF(Table1[[#This Row],[MonthlyIncome]]&lt;3000,"Low",IF(Table1[[#This Row],[MonthlyIncome]]&lt;7000,"Medium","High"))</f>
        <v>High</v>
      </c>
      <c r="AL32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328" spans="1:38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tr">
        <f>IF(Table1[[#This Row],[Age]]&lt;=25,"Young",IF(Table1[[#This Row],[Age]]&lt;=35,"Early Career",IF(Table1[[#This Row],[Age]]&lt;=45,"Mid Career","Senior")))</f>
        <v>Mid Career</v>
      </c>
      <c r="AK328" t="str">
        <f>IF(Table1[[#This Row],[MonthlyIncome]]&lt;3000,"Low",IF(Table1[[#This Row],[MonthlyIncome]]&lt;7000,"Medium","High"))</f>
        <v>High</v>
      </c>
      <c r="AL328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329" spans="1:38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tr">
        <f>IF(Table1[[#This Row],[Age]]&lt;=25,"Young",IF(Table1[[#This Row],[Age]]&lt;=35,"Early Career",IF(Table1[[#This Row],[Age]]&lt;=45,"Mid Career","Senior")))</f>
        <v>Mid Career</v>
      </c>
      <c r="AK329" t="str">
        <f>IF(Table1[[#This Row],[MonthlyIncome]]&lt;3000,"Low",IF(Table1[[#This Row],[MonthlyIncome]]&lt;7000,"Medium","High"))</f>
        <v>Medium</v>
      </c>
      <c r="AL32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330" spans="1:38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tr">
        <f>IF(Table1[[#This Row],[Age]]&lt;=25,"Young",IF(Table1[[#This Row],[Age]]&lt;=35,"Early Career",IF(Table1[[#This Row],[Age]]&lt;=45,"Mid Career","Senior")))</f>
        <v>Early Career</v>
      </c>
      <c r="AK330" t="str">
        <f>IF(Table1[[#This Row],[MonthlyIncome]]&lt;3000,"Low",IF(Table1[[#This Row],[MonthlyIncome]]&lt;7000,"Medium","High"))</f>
        <v>Medium</v>
      </c>
      <c r="AL33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331" spans="1:38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tr">
        <f>IF(Table1[[#This Row],[Age]]&lt;=25,"Young",IF(Table1[[#This Row],[Age]]&lt;=35,"Early Career",IF(Table1[[#This Row],[Age]]&lt;=45,"Mid Career","Senior")))</f>
        <v>Senior</v>
      </c>
      <c r="AK331" t="str">
        <f>IF(Table1[[#This Row],[MonthlyIncome]]&lt;3000,"Low",IF(Table1[[#This Row],[MonthlyIncome]]&lt;7000,"Medium","High"))</f>
        <v>High</v>
      </c>
      <c r="AL33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32" spans="1:38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tr">
        <f>IF(Table1[[#This Row],[Age]]&lt;=25,"Young",IF(Table1[[#This Row],[Age]]&lt;=35,"Early Career",IF(Table1[[#This Row],[Age]]&lt;=45,"Mid Career","Senior")))</f>
        <v>Mid Career</v>
      </c>
      <c r="AK332" t="str">
        <f>IF(Table1[[#This Row],[MonthlyIncome]]&lt;3000,"Low",IF(Table1[[#This Row],[MonthlyIncome]]&lt;7000,"Medium","High"))</f>
        <v>Medium</v>
      </c>
      <c r="AL33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333" spans="1:38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tr">
        <f>IF(Table1[[#This Row],[Age]]&lt;=25,"Young",IF(Table1[[#This Row],[Age]]&lt;=35,"Early Career",IF(Table1[[#This Row],[Age]]&lt;=45,"Mid Career","Senior")))</f>
        <v>Early Career</v>
      </c>
      <c r="AK333" t="str">
        <f>IF(Table1[[#This Row],[MonthlyIncome]]&lt;3000,"Low",IF(Table1[[#This Row],[MonthlyIncome]]&lt;7000,"Medium","High"))</f>
        <v>Medium</v>
      </c>
      <c r="AL333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34" spans="1:38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tr">
        <f>IF(Table1[[#This Row],[Age]]&lt;=25,"Young",IF(Table1[[#This Row],[Age]]&lt;=35,"Early Career",IF(Table1[[#This Row],[Age]]&lt;=45,"Mid Career","Senior")))</f>
        <v>Senior</v>
      </c>
      <c r="AK334" t="str">
        <f>IF(Table1[[#This Row],[MonthlyIncome]]&lt;3000,"Low",IF(Table1[[#This Row],[MonthlyIncome]]&lt;7000,"Medium","High"))</f>
        <v>Medium</v>
      </c>
      <c r="AL33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35" spans="1:38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tr">
        <f>IF(Table1[[#This Row],[Age]]&lt;=25,"Young",IF(Table1[[#This Row],[Age]]&lt;=35,"Early Career",IF(Table1[[#This Row],[Age]]&lt;=45,"Mid Career","Senior")))</f>
        <v>Mid Career</v>
      </c>
      <c r="AK335" t="str">
        <f>IF(Table1[[#This Row],[MonthlyIncome]]&lt;3000,"Low",IF(Table1[[#This Row],[MonthlyIncome]]&lt;7000,"Medium","High"))</f>
        <v>High</v>
      </c>
      <c r="AL335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336" spans="1:38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tr">
        <f>IF(Table1[[#This Row],[Age]]&lt;=25,"Young",IF(Table1[[#This Row],[Age]]&lt;=35,"Early Career",IF(Table1[[#This Row],[Age]]&lt;=45,"Mid Career","Senior")))</f>
        <v>Mid Career</v>
      </c>
      <c r="AK336" t="str">
        <f>IF(Table1[[#This Row],[MonthlyIncome]]&lt;3000,"Low",IF(Table1[[#This Row],[MonthlyIncome]]&lt;7000,"Medium","High"))</f>
        <v>Medium</v>
      </c>
      <c r="AL33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337" spans="1:38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tr">
        <f>IF(Table1[[#This Row],[Age]]&lt;=25,"Young",IF(Table1[[#This Row],[Age]]&lt;=35,"Early Career",IF(Table1[[#This Row],[Age]]&lt;=45,"Mid Career","Senior")))</f>
        <v>Mid Career</v>
      </c>
      <c r="AK337" t="str">
        <f>IF(Table1[[#This Row],[MonthlyIncome]]&lt;3000,"Low",IF(Table1[[#This Row],[MonthlyIncome]]&lt;7000,"Medium","High"))</f>
        <v>High</v>
      </c>
      <c r="AL33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38" spans="1:38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tr">
        <f>IF(Table1[[#This Row],[Age]]&lt;=25,"Young",IF(Table1[[#This Row],[Age]]&lt;=35,"Early Career",IF(Table1[[#This Row],[Age]]&lt;=45,"Mid Career","Senior")))</f>
        <v>Early Career</v>
      </c>
      <c r="AK338" t="str">
        <f>IF(Table1[[#This Row],[MonthlyIncome]]&lt;3000,"Low",IF(Table1[[#This Row],[MonthlyIncome]]&lt;7000,"Medium","High"))</f>
        <v>Low</v>
      </c>
      <c r="AL33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339" spans="1:38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tr">
        <f>IF(Table1[[#This Row],[Age]]&lt;=25,"Young",IF(Table1[[#This Row],[Age]]&lt;=35,"Early Career",IF(Table1[[#This Row],[Age]]&lt;=45,"Mid Career","Senior")))</f>
        <v>Early Career</v>
      </c>
      <c r="AK339" t="str">
        <f>IF(Table1[[#This Row],[MonthlyIncome]]&lt;3000,"Low",IF(Table1[[#This Row],[MonthlyIncome]]&lt;7000,"Medium","High"))</f>
        <v>Medium</v>
      </c>
      <c r="AL33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40" spans="1:38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tr">
        <f>IF(Table1[[#This Row],[Age]]&lt;=25,"Young",IF(Table1[[#This Row],[Age]]&lt;=35,"Early Career",IF(Table1[[#This Row],[Age]]&lt;=45,"Mid Career","Senior")))</f>
        <v>Early Career</v>
      </c>
      <c r="AK340" t="str">
        <f>IF(Table1[[#This Row],[MonthlyIncome]]&lt;3000,"Low",IF(Table1[[#This Row],[MonthlyIncome]]&lt;7000,"Medium","High"))</f>
        <v>Medium</v>
      </c>
      <c r="AL34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341" spans="1:38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tr">
        <f>IF(Table1[[#This Row],[Age]]&lt;=25,"Young",IF(Table1[[#This Row],[Age]]&lt;=35,"Early Career",IF(Table1[[#This Row],[Age]]&lt;=45,"Mid Career","Senior")))</f>
        <v>Early Career</v>
      </c>
      <c r="AK341" t="str">
        <f>IF(Table1[[#This Row],[MonthlyIncome]]&lt;3000,"Low",IF(Table1[[#This Row],[MonthlyIncome]]&lt;7000,"Medium","High"))</f>
        <v>Medium</v>
      </c>
      <c r="AL34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342" spans="1:38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tr">
        <f>IF(Table1[[#This Row],[Age]]&lt;=25,"Young",IF(Table1[[#This Row],[Age]]&lt;=35,"Early Career",IF(Table1[[#This Row],[Age]]&lt;=45,"Mid Career","Senior")))</f>
        <v>Mid Career</v>
      </c>
      <c r="AK342" t="str">
        <f>IF(Table1[[#This Row],[MonthlyIncome]]&lt;3000,"Low",IF(Table1[[#This Row],[MonthlyIncome]]&lt;7000,"Medium","High"))</f>
        <v>Medium</v>
      </c>
      <c r="AL34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343" spans="1:38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tr">
        <f>IF(Table1[[#This Row],[Age]]&lt;=25,"Young",IF(Table1[[#This Row],[Age]]&lt;=35,"Early Career",IF(Table1[[#This Row],[Age]]&lt;=45,"Mid Career","Senior")))</f>
        <v>Mid Career</v>
      </c>
      <c r="AK343" t="str">
        <f>IF(Table1[[#This Row],[MonthlyIncome]]&lt;3000,"Low",IF(Table1[[#This Row],[MonthlyIncome]]&lt;7000,"Medium","High"))</f>
        <v>High</v>
      </c>
      <c r="AL343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344" spans="1:38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tr">
        <f>IF(Table1[[#This Row],[Age]]&lt;=25,"Young",IF(Table1[[#This Row],[Age]]&lt;=35,"Early Career",IF(Table1[[#This Row],[Age]]&lt;=45,"Mid Career","Senior")))</f>
        <v>Early Career</v>
      </c>
      <c r="AK344" t="str">
        <f>IF(Table1[[#This Row],[MonthlyIncome]]&lt;3000,"Low",IF(Table1[[#This Row],[MonthlyIncome]]&lt;7000,"Medium","High"))</f>
        <v>High</v>
      </c>
      <c r="AL344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345" spans="1:38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tr">
        <f>IF(Table1[[#This Row],[Age]]&lt;=25,"Young",IF(Table1[[#This Row],[Age]]&lt;=35,"Early Career",IF(Table1[[#This Row],[Age]]&lt;=45,"Mid Career","Senior")))</f>
        <v>Early Career</v>
      </c>
      <c r="AK345" t="str">
        <f>IF(Table1[[#This Row],[MonthlyIncome]]&lt;3000,"Low",IF(Table1[[#This Row],[MonthlyIncome]]&lt;7000,"Medium","High"))</f>
        <v>High</v>
      </c>
      <c r="AL34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346" spans="1:38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tr">
        <f>IF(Table1[[#This Row],[Age]]&lt;=25,"Young",IF(Table1[[#This Row],[Age]]&lt;=35,"Early Career",IF(Table1[[#This Row],[Age]]&lt;=45,"Mid Career","Senior")))</f>
        <v>Early Career</v>
      </c>
      <c r="AK346" t="str">
        <f>IF(Table1[[#This Row],[MonthlyIncome]]&lt;3000,"Low",IF(Table1[[#This Row],[MonthlyIncome]]&lt;7000,"Medium","High"))</f>
        <v>High</v>
      </c>
      <c r="AL346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347" spans="1:38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tr">
        <f>IF(Table1[[#This Row],[Age]]&lt;=25,"Young",IF(Table1[[#This Row],[Age]]&lt;=35,"Early Career",IF(Table1[[#This Row],[Age]]&lt;=45,"Mid Career","Senior")))</f>
        <v>Young</v>
      </c>
      <c r="AK347" t="str">
        <f>IF(Table1[[#This Row],[MonthlyIncome]]&lt;3000,"Low",IF(Table1[[#This Row],[MonthlyIncome]]&lt;7000,"Medium","High"))</f>
        <v>Low</v>
      </c>
      <c r="AL34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48" spans="1:38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tr">
        <f>IF(Table1[[#This Row],[Age]]&lt;=25,"Young",IF(Table1[[#This Row],[Age]]&lt;=35,"Early Career",IF(Table1[[#This Row],[Age]]&lt;=45,"Mid Career","Senior")))</f>
        <v>Mid Career</v>
      </c>
      <c r="AK348" t="str">
        <f>IF(Table1[[#This Row],[MonthlyIncome]]&lt;3000,"Low",IF(Table1[[#This Row],[MonthlyIncome]]&lt;7000,"Medium","High"))</f>
        <v>Medium</v>
      </c>
      <c r="AL34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49" spans="1:38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tr">
        <f>IF(Table1[[#This Row],[Age]]&lt;=25,"Young",IF(Table1[[#This Row],[Age]]&lt;=35,"Early Career",IF(Table1[[#This Row],[Age]]&lt;=45,"Mid Career","Senior")))</f>
        <v>Senior</v>
      </c>
      <c r="AK349" t="str">
        <f>IF(Table1[[#This Row],[MonthlyIncome]]&lt;3000,"Low",IF(Table1[[#This Row],[MonthlyIncome]]&lt;7000,"Medium","High"))</f>
        <v>Low</v>
      </c>
      <c r="AL34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350" spans="1:38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tr">
        <f>IF(Table1[[#This Row],[Age]]&lt;=25,"Young",IF(Table1[[#This Row],[Age]]&lt;=35,"Early Career",IF(Table1[[#This Row],[Age]]&lt;=45,"Mid Career","Senior")))</f>
        <v>Mid Career</v>
      </c>
      <c r="AK350" t="str">
        <f>IF(Table1[[#This Row],[MonthlyIncome]]&lt;3000,"Low",IF(Table1[[#This Row],[MonthlyIncome]]&lt;7000,"Medium","High"))</f>
        <v>High</v>
      </c>
      <c r="AL35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351" spans="1:38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tr">
        <f>IF(Table1[[#This Row],[Age]]&lt;=25,"Young",IF(Table1[[#This Row],[Age]]&lt;=35,"Early Career",IF(Table1[[#This Row],[Age]]&lt;=45,"Mid Career","Senior")))</f>
        <v>Early Career</v>
      </c>
      <c r="AK351" t="str">
        <f>IF(Table1[[#This Row],[MonthlyIncome]]&lt;3000,"Low",IF(Table1[[#This Row],[MonthlyIncome]]&lt;7000,"Medium","High"))</f>
        <v>Medium</v>
      </c>
      <c r="AL35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52" spans="1:38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tr">
        <f>IF(Table1[[#This Row],[Age]]&lt;=25,"Young",IF(Table1[[#This Row],[Age]]&lt;=35,"Early Career",IF(Table1[[#This Row],[Age]]&lt;=45,"Mid Career","Senior")))</f>
        <v>Mid Career</v>
      </c>
      <c r="AK352" t="str">
        <f>IF(Table1[[#This Row],[MonthlyIncome]]&lt;3000,"Low",IF(Table1[[#This Row],[MonthlyIncome]]&lt;7000,"Medium","High"))</f>
        <v>Low</v>
      </c>
      <c r="AL35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53" spans="1:38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tr">
        <f>IF(Table1[[#This Row],[Age]]&lt;=25,"Young",IF(Table1[[#This Row],[Age]]&lt;=35,"Early Career",IF(Table1[[#This Row],[Age]]&lt;=45,"Mid Career","Senior")))</f>
        <v>Early Career</v>
      </c>
      <c r="AK353" t="str">
        <f>IF(Table1[[#This Row],[MonthlyIncome]]&lt;3000,"Low",IF(Table1[[#This Row],[MonthlyIncome]]&lt;7000,"Medium","High"))</f>
        <v>Low</v>
      </c>
      <c r="AL35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354" spans="1:38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tr">
        <f>IF(Table1[[#This Row],[Age]]&lt;=25,"Young",IF(Table1[[#This Row],[Age]]&lt;=35,"Early Career",IF(Table1[[#This Row],[Age]]&lt;=45,"Mid Career","Senior")))</f>
        <v>Senior</v>
      </c>
      <c r="AK354" t="str">
        <f>IF(Table1[[#This Row],[MonthlyIncome]]&lt;3000,"Low",IF(Table1[[#This Row],[MonthlyIncome]]&lt;7000,"Medium","High"))</f>
        <v>High</v>
      </c>
      <c r="AL35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355" spans="1:38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tr">
        <f>IF(Table1[[#This Row],[Age]]&lt;=25,"Young",IF(Table1[[#This Row],[Age]]&lt;=35,"Early Career",IF(Table1[[#This Row],[Age]]&lt;=45,"Mid Career","Senior")))</f>
        <v>Mid Career</v>
      </c>
      <c r="AK355" t="str">
        <f>IF(Table1[[#This Row],[MonthlyIncome]]&lt;3000,"Low",IF(Table1[[#This Row],[MonthlyIncome]]&lt;7000,"Medium","High"))</f>
        <v>Medium</v>
      </c>
      <c r="AL35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356" spans="1:38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tr">
        <f>IF(Table1[[#This Row],[Age]]&lt;=25,"Young",IF(Table1[[#This Row],[Age]]&lt;=35,"Early Career",IF(Table1[[#This Row],[Age]]&lt;=45,"Mid Career","Senior")))</f>
        <v>Early Career</v>
      </c>
      <c r="AK356" t="str">
        <f>IF(Table1[[#This Row],[MonthlyIncome]]&lt;3000,"Low",IF(Table1[[#This Row],[MonthlyIncome]]&lt;7000,"Medium","High"))</f>
        <v>Medium</v>
      </c>
      <c r="AL356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357" spans="1:38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tr">
        <f>IF(Table1[[#This Row],[Age]]&lt;=25,"Young",IF(Table1[[#This Row],[Age]]&lt;=35,"Early Career",IF(Table1[[#This Row],[Age]]&lt;=45,"Mid Career","Senior")))</f>
        <v>Early Career</v>
      </c>
      <c r="AK357" t="str">
        <f>IF(Table1[[#This Row],[MonthlyIncome]]&lt;3000,"Low",IF(Table1[[#This Row],[MonthlyIncome]]&lt;7000,"Medium","High"))</f>
        <v>Medium</v>
      </c>
      <c r="AL35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358" spans="1:38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tr">
        <f>IF(Table1[[#This Row],[Age]]&lt;=25,"Young",IF(Table1[[#This Row],[Age]]&lt;=35,"Early Career",IF(Table1[[#This Row],[Age]]&lt;=45,"Mid Career","Senior")))</f>
        <v>Mid Career</v>
      </c>
      <c r="AK358" t="str">
        <f>IF(Table1[[#This Row],[MonthlyIncome]]&lt;3000,"Low",IF(Table1[[#This Row],[MonthlyIncome]]&lt;7000,"Medium","High"))</f>
        <v>Medium</v>
      </c>
      <c r="AL35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359" spans="1:38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tr">
        <f>IF(Table1[[#This Row],[Age]]&lt;=25,"Young",IF(Table1[[#This Row],[Age]]&lt;=35,"Early Career",IF(Table1[[#This Row],[Age]]&lt;=45,"Mid Career","Senior")))</f>
        <v>Young</v>
      </c>
      <c r="AK359" t="str">
        <f>IF(Table1[[#This Row],[MonthlyIncome]]&lt;3000,"Low",IF(Table1[[#This Row],[MonthlyIncome]]&lt;7000,"Medium","High"))</f>
        <v>Low</v>
      </c>
      <c r="AL35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60" spans="1:38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tr">
        <f>IF(Table1[[#This Row],[Age]]&lt;=25,"Young",IF(Table1[[#This Row],[Age]]&lt;=35,"Early Career",IF(Table1[[#This Row],[Age]]&lt;=45,"Mid Career","Senior")))</f>
        <v>Mid Career</v>
      </c>
      <c r="AK360" t="str">
        <f>IF(Table1[[#This Row],[MonthlyIncome]]&lt;3000,"Low",IF(Table1[[#This Row],[MonthlyIncome]]&lt;7000,"Medium","High"))</f>
        <v>Medium</v>
      </c>
      <c r="AL36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361" spans="1:38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tr">
        <f>IF(Table1[[#This Row],[Age]]&lt;=25,"Young",IF(Table1[[#This Row],[Age]]&lt;=35,"Early Career",IF(Table1[[#This Row],[Age]]&lt;=45,"Mid Career","Senior")))</f>
        <v>Mid Career</v>
      </c>
      <c r="AK361" t="str">
        <f>IF(Table1[[#This Row],[MonthlyIncome]]&lt;3000,"Low",IF(Table1[[#This Row],[MonthlyIncome]]&lt;7000,"Medium","High"))</f>
        <v>High</v>
      </c>
      <c r="AL361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362" spans="1:38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tr">
        <f>IF(Table1[[#This Row],[Age]]&lt;=25,"Young",IF(Table1[[#This Row],[Age]]&lt;=35,"Early Career",IF(Table1[[#This Row],[Age]]&lt;=45,"Mid Career","Senior")))</f>
        <v>Senior</v>
      </c>
      <c r="AK362" t="str">
        <f>IF(Table1[[#This Row],[MonthlyIncome]]&lt;3000,"Low",IF(Table1[[#This Row],[MonthlyIncome]]&lt;7000,"Medium","High"))</f>
        <v>Medium</v>
      </c>
      <c r="AL36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63" spans="1:38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tr">
        <f>IF(Table1[[#This Row],[Age]]&lt;=25,"Young",IF(Table1[[#This Row],[Age]]&lt;=35,"Early Career",IF(Table1[[#This Row],[Age]]&lt;=45,"Mid Career","Senior")))</f>
        <v>Mid Career</v>
      </c>
      <c r="AK363" t="str">
        <f>IF(Table1[[#This Row],[MonthlyIncome]]&lt;3000,"Low",IF(Table1[[#This Row],[MonthlyIncome]]&lt;7000,"Medium","High"))</f>
        <v>Low</v>
      </c>
      <c r="AL36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364" spans="1:38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tr">
        <f>IF(Table1[[#This Row],[Age]]&lt;=25,"Young",IF(Table1[[#This Row],[Age]]&lt;=35,"Early Career",IF(Table1[[#This Row],[Age]]&lt;=45,"Mid Career","Senior")))</f>
        <v>Young</v>
      </c>
      <c r="AK364" t="str">
        <f>IF(Table1[[#This Row],[MonthlyIncome]]&lt;3000,"Low",IF(Table1[[#This Row],[MonthlyIncome]]&lt;7000,"Medium","High"))</f>
        <v>Low</v>
      </c>
      <c r="AL36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65" spans="1:38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tr">
        <f>IF(Table1[[#This Row],[Age]]&lt;=25,"Young",IF(Table1[[#This Row],[Age]]&lt;=35,"Early Career",IF(Table1[[#This Row],[Age]]&lt;=45,"Mid Career","Senior")))</f>
        <v>Early Career</v>
      </c>
      <c r="AK365" t="str">
        <f>IF(Table1[[#This Row],[MonthlyIncome]]&lt;3000,"Low",IF(Table1[[#This Row],[MonthlyIncome]]&lt;7000,"Medium","High"))</f>
        <v>Low</v>
      </c>
      <c r="AL365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366" spans="1:38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tr">
        <f>IF(Table1[[#This Row],[Age]]&lt;=25,"Young",IF(Table1[[#This Row],[Age]]&lt;=35,"Early Career",IF(Table1[[#This Row],[Age]]&lt;=45,"Mid Career","Senior")))</f>
        <v>Mid Career</v>
      </c>
      <c r="AK366" t="str">
        <f>IF(Table1[[#This Row],[MonthlyIncome]]&lt;3000,"Low",IF(Table1[[#This Row],[MonthlyIncome]]&lt;7000,"Medium","High"))</f>
        <v>Medium</v>
      </c>
      <c r="AL36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67" spans="1:38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tr">
        <f>IF(Table1[[#This Row],[Age]]&lt;=25,"Young",IF(Table1[[#This Row],[Age]]&lt;=35,"Early Career",IF(Table1[[#This Row],[Age]]&lt;=45,"Mid Career","Senior")))</f>
        <v>Senior</v>
      </c>
      <c r="AK367" t="str">
        <f>IF(Table1[[#This Row],[MonthlyIncome]]&lt;3000,"Low",IF(Table1[[#This Row],[MonthlyIncome]]&lt;7000,"Medium","High"))</f>
        <v>Medium</v>
      </c>
      <c r="AL36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368" spans="1:38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tr">
        <f>IF(Table1[[#This Row],[Age]]&lt;=25,"Young",IF(Table1[[#This Row],[Age]]&lt;=35,"Early Career",IF(Table1[[#This Row],[Age]]&lt;=45,"Mid Career","Senior")))</f>
        <v>Mid Career</v>
      </c>
      <c r="AK368" t="str">
        <f>IF(Table1[[#This Row],[MonthlyIncome]]&lt;3000,"Low",IF(Table1[[#This Row],[MonthlyIncome]]&lt;7000,"Medium","High"))</f>
        <v>High</v>
      </c>
      <c r="AL36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369" spans="1:38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tr">
        <f>IF(Table1[[#This Row],[Age]]&lt;=25,"Young",IF(Table1[[#This Row],[Age]]&lt;=35,"Early Career",IF(Table1[[#This Row],[Age]]&lt;=45,"Mid Career","Senior")))</f>
        <v>Senior</v>
      </c>
      <c r="AK369" t="str">
        <f>IF(Table1[[#This Row],[MonthlyIncome]]&lt;3000,"Low",IF(Table1[[#This Row],[MonthlyIncome]]&lt;7000,"Medium","High"))</f>
        <v>High</v>
      </c>
      <c r="AL36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70" spans="1:38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tr">
        <f>IF(Table1[[#This Row],[Age]]&lt;=25,"Young",IF(Table1[[#This Row],[Age]]&lt;=35,"Early Career",IF(Table1[[#This Row],[Age]]&lt;=45,"Mid Career","Senior")))</f>
        <v>Mid Career</v>
      </c>
      <c r="AK370" t="str">
        <f>IF(Table1[[#This Row],[MonthlyIncome]]&lt;3000,"Low",IF(Table1[[#This Row],[MonthlyIncome]]&lt;7000,"Medium","High"))</f>
        <v>Medium</v>
      </c>
      <c r="AL37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371" spans="1:38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tr">
        <f>IF(Table1[[#This Row],[Age]]&lt;=25,"Young",IF(Table1[[#This Row],[Age]]&lt;=35,"Early Career",IF(Table1[[#This Row],[Age]]&lt;=45,"Mid Career","Senior")))</f>
        <v>Early Career</v>
      </c>
      <c r="AK371" t="str">
        <f>IF(Table1[[#This Row],[MonthlyIncome]]&lt;3000,"Low",IF(Table1[[#This Row],[MonthlyIncome]]&lt;7000,"Medium","High"))</f>
        <v>Low</v>
      </c>
      <c r="AL37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372" spans="1:38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tr">
        <f>IF(Table1[[#This Row],[Age]]&lt;=25,"Young",IF(Table1[[#This Row],[Age]]&lt;=35,"Early Career",IF(Table1[[#This Row],[Age]]&lt;=45,"Mid Career","Senior")))</f>
        <v>Young</v>
      </c>
      <c r="AK372" t="str">
        <f>IF(Table1[[#This Row],[MonthlyIncome]]&lt;3000,"Low",IF(Table1[[#This Row],[MonthlyIncome]]&lt;7000,"Medium","High"))</f>
        <v>Low</v>
      </c>
      <c r="AL37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373" spans="1:38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tr">
        <f>IF(Table1[[#This Row],[Age]]&lt;=25,"Young",IF(Table1[[#This Row],[Age]]&lt;=35,"Early Career",IF(Table1[[#This Row],[Age]]&lt;=45,"Mid Career","Senior")))</f>
        <v>Early Career</v>
      </c>
      <c r="AK373" t="str">
        <f>IF(Table1[[#This Row],[MonthlyIncome]]&lt;3000,"Low",IF(Table1[[#This Row],[MonthlyIncome]]&lt;7000,"Medium","High"))</f>
        <v>Low</v>
      </c>
      <c r="AL373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74" spans="1:38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tr">
        <f>IF(Table1[[#This Row],[Age]]&lt;=25,"Young",IF(Table1[[#This Row],[Age]]&lt;=35,"Early Career",IF(Table1[[#This Row],[Age]]&lt;=45,"Mid Career","Senior")))</f>
        <v>Early Career</v>
      </c>
      <c r="AK374" t="str">
        <f>IF(Table1[[#This Row],[MonthlyIncome]]&lt;3000,"Low",IF(Table1[[#This Row],[MonthlyIncome]]&lt;7000,"Medium","High"))</f>
        <v>Medium</v>
      </c>
      <c r="AL37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375" spans="1:38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tr">
        <f>IF(Table1[[#This Row],[Age]]&lt;=25,"Young",IF(Table1[[#This Row],[Age]]&lt;=35,"Early Career",IF(Table1[[#This Row],[Age]]&lt;=45,"Mid Career","Senior")))</f>
        <v>Early Career</v>
      </c>
      <c r="AK375" t="str">
        <f>IF(Table1[[#This Row],[MonthlyIncome]]&lt;3000,"Low",IF(Table1[[#This Row],[MonthlyIncome]]&lt;7000,"Medium","High"))</f>
        <v>Medium</v>
      </c>
      <c r="AL37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76" spans="1:38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tr">
        <f>IF(Table1[[#This Row],[Age]]&lt;=25,"Young",IF(Table1[[#This Row],[Age]]&lt;=35,"Early Career",IF(Table1[[#This Row],[Age]]&lt;=45,"Mid Career","Senior")))</f>
        <v>Early Career</v>
      </c>
      <c r="AK376" t="str">
        <f>IF(Table1[[#This Row],[MonthlyIncome]]&lt;3000,"Low",IF(Table1[[#This Row],[MonthlyIncome]]&lt;7000,"Medium","High"))</f>
        <v>Medium</v>
      </c>
      <c r="AL37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377" spans="1:38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tr">
        <f>IF(Table1[[#This Row],[Age]]&lt;=25,"Young",IF(Table1[[#This Row],[Age]]&lt;=35,"Early Career",IF(Table1[[#This Row],[Age]]&lt;=45,"Mid Career","Senior")))</f>
        <v>Senior</v>
      </c>
      <c r="AK377" t="str">
        <f>IF(Table1[[#This Row],[MonthlyIncome]]&lt;3000,"Low",IF(Table1[[#This Row],[MonthlyIncome]]&lt;7000,"Medium","High"))</f>
        <v>High</v>
      </c>
      <c r="AL37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78" spans="1:38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tr">
        <f>IF(Table1[[#This Row],[Age]]&lt;=25,"Young",IF(Table1[[#This Row],[Age]]&lt;=35,"Early Career",IF(Table1[[#This Row],[Age]]&lt;=45,"Mid Career","Senior")))</f>
        <v>Senior</v>
      </c>
      <c r="AK378" t="str">
        <f>IF(Table1[[#This Row],[MonthlyIncome]]&lt;3000,"Low",IF(Table1[[#This Row],[MonthlyIncome]]&lt;7000,"Medium","High"))</f>
        <v>Medium</v>
      </c>
      <c r="AL37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379" spans="1:38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tr">
        <f>IF(Table1[[#This Row],[Age]]&lt;=25,"Young",IF(Table1[[#This Row],[Age]]&lt;=35,"Early Career",IF(Table1[[#This Row],[Age]]&lt;=45,"Mid Career","Senior")))</f>
        <v>Mid Career</v>
      </c>
      <c r="AK379" t="str">
        <f>IF(Table1[[#This Row],[MonthlyIncome]]&lt;3000,"Low",IF(Table1[[#This Row],[MonthlyIncome]]&lt;7000,"Medium","High"))</f>
        <v>Low</v>
      </c>
      <c r="AL37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380" spans="1:38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tr">
        <f>IF(Table1[[#This Row],[Age]]&lt;=25,"Young",IF(Table1[[#This Row],[Age]]&lt;=35,"Early Career",IF(Table1[[#This Row],[Age]]&lt;=45,"Mid Career","Senior")))</f>
        <v>Early Career</v>
      </c>
      <c r="AK380" t="str">
        <f>IF(Table1[[#This Row],[MonthlyIncome]]&lt;3000,"Low",IF(Table1[[#This Row],[MonthlyIncome]]&lt;7000,"Medium","High"))</f>
        <v>Medium</v>
      </c>
      <c r="AL38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81" spans="1:38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tr">
        <f>IF(Table1[[#This Row],[Age]]&lt;=25,"Young",IF(Table1[[#This Row],[Age]]&lt;=35,"Early Career",IF(Table1[[#This Row],[Age]]&lt;=45,"Mid Career","Senior")))</f>
        <v>Senior</v>
      </c>
      <c r="AK381" t="str">
        <f>IF(Table1[[#This Row],[MonthlyIncome]]&lt;3000,"Low",IF(Table1[[#This Row],[MonthlyIncome]]&lt;7000,"Medium","High"))</f>
        <v>High</v>
      </c>
      <c r="AL38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82" spans="1:38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tr">
        <f>IF(Table1[[#This Row],[Age]]&lt;=25,"Young",IF(Table1[[#This Row],[Age]]&lt;=35,"Early Career",IF(Table1[[#This Row],[Age]]&lt;=45,"Mid Career","Senior")))</f>
        <v>Young</v>
      </c>
      <c r="AK382" t="str">
        <f>IF(Table1[[#This Row],[MonthlyIncome]]&lt;3000,"Low",IF(Table1[[#This Row],[MonthlyIncome]]&lt;7000,"Medium","High"))</f>
        <v>Medium</v>
      </c>
      <c r="AL38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83" spans="1:38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tr">
        <f>IF(Table1[[#This Row],[Age]]&lt;=25,"Young",IF(Table1[[#This Row],[Age]]&lt;=35,"Early Career",IF(Table1[[#This Row],[Age]]&lt;=45,"Mid Career","Senior")))</f>
        <v>Early Career</v>
      </c>
      <c r="AK383" t="str">
        <f>IF(Table1[[#This Row],[MonthlyIncome]]&lt;3000,"Low",IF(Table1[[#This Row],[MonthlyIncome]]&lt;7000,"Medium","High"))</f>
        <v>Low</v>
      </c>
      <c r="AL38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384" spans="1:38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tr">
        <f>IF(Table1[[#This Row],[Age]]&lt;=25,"Young",IF(Table1[[#This Row],[Age]]&lt;=35,"Early Career",IF(Table1[[#This Row],[Age]]&lt;=45,"Mid Career","Senior")))</f>
        <v>Early Career</v>
      </c>
      <c r="AK384" t="str">
        <f>IF(Table1[[#This Row],[MonthlyIncome]]&lt;3000,"Low",IF(Table1[[#This Row],[MonthlyIncome]]&lt;7000,"Medium","High"))</f>
        <v>Medium</v>
      </c>
      <c r="AL38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385" spans="1:38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tr">
        <f>IF(Table1[[#This Row],[Age]]&lt;=25,"Young",IF(Table1[[#This Row],[Age]]&lt;=35,"Early Career",IF(Table1[[#This Row],[Age]]&lt;=45,"Mid Career","Senior")))</f>
        <v>Young</v>
      </c>
      <c r="AK385" t="str">
        <f>IF(Table1[[#This Row],[MonthlyIncome]]&lt;3000,"Low",IF(Table1[[#This Row],[MonthlyIncome]]&lt;7000,"Medium","High"))</f>
        <v>Low</v>
      </c>
      <c r="AL385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386" spans="1:38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tr">
        <f>IF(Table1[[#This Row],[Age]]&lt;=25,"Young",IF(Table1[[#This Row],[Age]]&lt;=35,"Early Career",IF(Table1[[#This Row],[Age]]&lt;=45,"Mid Career","Senior")))</f>
        <v>Mid Career</v>
      </c>
      <c r="AK386" t="str">
        <f>IF(Table1[[#This Row],[MonthlyIncome]]&lt;3000,"Low",IF(Table1[[#This Row],[MonthlyIncome]]&lt;7000,"Medium","High"))</f>
        <v>High</v>
      </c>
      <c r="AL38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387" spans="1:38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tr">
        <f>IF(Table1[[#This Row],[Age]]&lt;=25,"Young",IF(Table1[[#This Row],[Age]]&lt;=35,"Early Career",IF(Table1[[#This Row],[Age]]&lt;=45,"Mid Career","Senior")))</f>
        <v>Early Career</v>
      </c>
      <c r="AK387" t="str">
        <f>IF(Table1[[#This Row],[MonthlyIncome]]&lt;3000,"Low",IF(Table1[[#This Row],[MonthlyIncome]]&lt;7000,"Medium","High"))</f>
        <v>Low</v>
      </c>
      <c r="AL38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388" spans="1:38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tr">
        <f>IF(Table1[[#This Row],[Age]]&lt;=25,"Young",IF(Table1[[#This Row],[Age]]&lt;=35,"Early Career",IF(Table1[[#This Row],[Age]]&lt;=45,"Mid Career","Senior")))</f>
        <v>Mid Career</v>
      </c>
      <c r="AK388" t="str">
        <f>IF(Table1[[#This Row],[MonthlyIncome]]&lt;3000,"Low",IF(Table1[[#This Row],[MonthlyIncome]]&lt;7000,"Medium","High"))</f>
        <v>Medium</v>
      </c>
      <c r="AL388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389" spans="1:38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tr">
        <f>IF(Table1[[#This Row],[Age]]&lt;=25,"Young",IF(Table1[[#This Row],[Age]]&lt;=35,"Early Career",IF(Table1[[#This Row],[Age]]&lt;=45,"Mid Career","Senior")))</f>
        <v>Mid Career</v>
      </c>
      <c r="AK389" t="str">
        <f>IF(Table1[[#This Row],[MonthlyIncome]]&lt;3000,"Low",IF(Table1[[#This Row],[MonthlyIncome]]&lt;7000,"Medium","High"))</f>
        <v>Medium</v>
      </c>
      <c r="AL38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90" spans="1:38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tr">
        <f>IF(Table1[[#This Row],[Age]]&lt;=25,"Young",IF(Table1[[#This Row],[Age]]&lt;=35,"Early Career",IF(Table1[[#This Row],[Age]]&lt;=45,"Mid Career","Senior")))</f>
        <v>Mid Career</v>
      </c>
      <c r="AK390" t="str">
        <f>IF(Table1[[#This Row],[MonthlyIncome]]&lt;3000,"Low",IF(Table1[[#This Row],[MonthlyIncome]]&lt;7000,"Medium","High"))</f>
        <v>Low</v>
      </c>
      <c r="AL39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91" spans="1:38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tr">
        <f>IF(Table1[[#This Row],[Age]]&lt;=25,"Young",IF(Table1[[#This Row],[Age]]&lt;=35,"Early Career",IF(Table1[[#This Row],[Age]]&lt;=45,"Mid Career","Senior")))</f>
        <v>Mid Career</v>
      </c>
      <c r="AK391" t="str">
        <f>IF(Table1[[#This Row],[MonthlyIncome]]&lt;3000,"Low",IF(Table1[[#This Row],[MonthlyIncome]]&lt;7000,"Medium","High"))</f>
        <v>Medium</v>
      </c>
      <c r="AL39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392" spans="1:38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tr">
        <f>IF(Table1[[#This Row],[Age]]&lt;=25,"Young",IF(Table1[[#This Row],[Age]]&lt;=35,"Early Career",IF(Table1[[#This Row],[Age]]&lt;=45,"Mid Career","Senior")))</f>
        <v>Mid Career</v>
      </c>
      <c r="AK392" t="str">
        <f>IF(Table1[[#This Row],[MonthlyIncome]]&lt;3000,"Low",IF(Table1[[#This Row],[MonthlyIncome]]&lt;7000,"Medium","High"))</f>
        <v>High</v>
      </c>
      <c r="AL392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393" spans="1:38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tr">
        <f>IF(Table1[[#This Row],[Age]]&lt;=25,"Young",IF(Table1[[#This Row],[Age]]&lt;=35,"Early Career",IF(Table1[[#This Row],[Age]]&lt;=45,"Mid Career","Senior")))</f>
        <v>Mid Career</v>
      </c>
      <c r="AK393" t="str">
        <f>IF(Table1[[#This Row],[MonthlyIncome]]&lt;3000,"Low",IF(Table1[[#This Row],[MonthlyIncome]]&lt;7000,"Medium","High"))</f>
        <v>Medium</v>
      </c>
      <c r="AL39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394" spans="1:38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tr">
        <f>IF(Table1[[#This Row],[Age]]&lt;=25,"Young",IF(Table1[[#This Row],[Age]]&lt;=35,"Early Career",IF(Table1[[#This Row],[Age]]&lt;=45,"Mid Career","Senior")))</f>
        <v>Senior</v>
      </c>
      <c r="AK394" t="str">
        <f>IF(Table1[[#This Row],[MonthlyIncome]]&lt;3000,"Low",IF(Table1[[#This Row],[MonthlyIncome]]&lt;7000,"Medium","High"))</f>
        <v>High</v>
      </c>
      <c r="AL39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95" spans="1:38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tr">
        <f>IF(Table1[[#This Row],[Age]]&lt;=25,"Young",IF(Table1[[#This Row],[Age]]&lt;=35,"Early Career",IF(Table1[[#This Row],[Age]]&lt;=45,"Mid Career","Senior")))</f>
        <v>Early Career</v>
      </c>
      <c r="AK395" t="str">
        <f>IF(Table1[[#This Row],[MonthlyIncome]]&lt;3000,"Low",IF(Table1[[#This Row],[MonthlyIncome]]&lt;7000,"Medium","High"))</f>
        <v>Medium</v>
      </c>
      <c r="AL39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96" spans="1:38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tr">
        <f>IF(Table1[[#This Row],[Age]]&lt;=25,"Young",IF(Table1[[#This Row],[Age]]&lt;=35,"Early Career",IF(Table1[[#This Row],[Age]]&lt;=45,"Mid Career","Senior")))</f>
        <v>Early Career</v>
      </c>
      <c r="AK396" t="str">
        <f>IF(Table1[[#This Row],[MonthlyIncome]]&lt;3000,"Low",IF(Table1[[#This Row],[MonthlyIncome]]&lt;7000,"Medium","High"))</f>
        <v>Medium</v>
      </c>
      <c r="AL396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397" spans="1:38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tr">
        <f>IF(Table1[[#This Row],[Age]]&lt;=25,"Young",IF(Table1[[#This Row],[Age]]&lt;=35,"Early Career",IF(Table1[[#This Row],[Age]]&lt;=45,"Mid Career","Senior")))</f>
        <v>Mid Career</v>
      </c>
      <c r="AK397" t="str">
        <f>IF(Table1[[#This Row],[MonthlyIncome]]&lt;3000,"Low",IF(Table1[[#This Row],[MonthlyIncome]]&lt;7000,"Medium","High"))</f>
        <v>Low</v>
      </c>
      <c r="AL39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98" spans="1:38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tr">
        <f>IF(Table1[[#This Row],[Age]]&lt;=25,"Young",IF(Table1[[#This Row],[Age]]&lt;=35,"Early Career",IF(Table1[[#This Row],[Age]]&lt;=45,"Mid Career","Senior")))</f>
        <v>Mid Career</v>
      </c>
      <c r="AK398" t="str">
        <f>IF(Table1[[#This Row],[MonthlyIncome]]&lt;3000,"Low",IF(Table1[[#This Row],[MonthlyIncome]]&lt;7000,"Medium","High"))</f>
        <v>Medium</v>
      </c>
      <c r="AL39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399" spans="1:38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tr">
        <f>IF(Table1[[#This Row],[Age]]&lt;=25,"Young",IF(Table1[[#This Row],[Age]]&lt;=35,"Early Career",IF(Table1[[#This Row],[Age]]&lt;=45,"Mid Career","Senior")))</f>
        <v>Young</v>
      </c>
      <c r="AK399" t="str">
        <f>IF(Table1[[#This Row],[MonthlyIncome]]&lt;3000,"Low",IF(Table1[[#This Row],[MonthlyIncome]]&lt;7000,"Medium","High"))</f>
        <v>Medium</v>
      </c>
      <c r="AL39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400" spans="1:38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tr">
        <f>IF(Table1[[#This Row],[Age]]&lt;=25,"Young",IF(Table1[[#This Row],[Age]]&lt;=35,"Early Career",IF(Table1[[#This Row],[Age]]&lt;=45,"Mid Career","Senior")))</f>
        <v>Mid Career</v>
      </c>
      <c r="AK400" t="str">
        <f>IF(Table1[[#This Row],[MonthlyIncome]]&lt;3000,"Low",IF(Table1[[#This Row],[MonthlyIncome]]&lt;7000,"Medium","High"))</f>
        <v>Medium</v>
      </c>
      <c r="AL400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401" spans="1:38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tr">
        <f>IF(Table1[[#This Row],[Age]]&lt;=25,"Young",IF(Table1[[#This Row],[Age]]&lt;=35,"Early Career",IF(Table1[[#This Row],[Age]]&lt;=45,"Mid Career","Senior")))</f>
        <v>Early Career</v>
      </c>
      <c r="AK401" t="str">
        <f>IF(Table1[[#This Row],[MonthlyIncome]]&lt;3000,"Low",IF(Table1[[#This Row],[MonthlyIncome]]&lt;7000,"Medium","High"))</f>
        <v>Low</v>
      </c>
      <c r="AL40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402" spans="1:38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tr">
        <f>IF(Table1[[#This Row],[Age]]&lt;=25,"Young",IF(Table1[[#This Row],[Age]]&lt;=35,"Early Career",IF(Table1[[#This Row],[Age]]&lt;=45,"Mid Career","Senior")))</f>
        <v>Mid Career</v>
      </c>
      <c r="AK402" t="str">
        <f>IF(Table1[[#This Row],[MonthlyIncome]]&lt;3000,"Low",IF(Table1[[#This Row],[MonthlyIncome]]&lt;7000,"Medium","High"))</f>
        <v>High</v>
      </c>
      <c r="AL402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403" spans="1:38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tr">
        <f>IF(Table1[[#This Row],[Age]]&lt;=25,"Young",IF(Table1[[#This Row],[Age]]&lt;=35,"Early Career",IF(Table1[[#This Row],[Age]]&lt;=45,"Mid Career","Senior")))</f>
        <v>Senior</v>
      </c>
      <c r="AK403" t="str">
        <f>IF(Table1[[#This Row],[MonthlyIncome]]&lt;3000,"Low",IF(Table1[[#This Row],[MonthlyIncome]]&lt;7000,"Medium","High"))</f>
        <v>High</v>
      </c>
      <c r="AL40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04" spans="1:38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tr">
        <f>IF(Table1[[#This Row],[Age]]&lt;=25,"Young",IF(Table1[[#This Row],[Age]]&lt;=35,"Early Career",IF(Table1[[#This Row],[Age]]&lt;=45,"Mid Career","Senior")))</f>
        <v>Early Career</v>
      </c>
      <c r="AK404" t="str">
        <f>IF(Table1[[#This Row],[MonthlyIncome]]&lt;3000,"Low",IF(Table1[[#This Row],[MonthlyIncome]]&lt;7000,"Medium","High"))</f>
        <v>Medium</v>
      </c>
      <c r="AL40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405" spans="1:38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tr">
        <f>IF(Table1[[#This Row],[Age]]&lt;=25,"Young",IF(Table1[[#This Row],[Age]]&lt;=35,"Early Career",IF(Table1[[#This Row],[Age]]&lt;=45,"Mid Career","Senior")))</f>
        <v>Mid Career</v>
      </c>
      <c r="AK405" t="str">
        <f>IF(Table1[[#This Row],[MonthlyIncome]]&lt;3000,"Low",IF(Table1[[#This Row],[MonthlyIncome]]&lt;7000,"Medium","High"))</f>
        <v>High</v>
      </c>
      <c r="AL40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06" spans="1:38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tr">
        <f>IF(Table1[[#This Row],[Age]]&lt;=25,"Young",IF(Table1[[#This Row],[Age]]&lt;=35,"Early Career",IF(Table1[[#This Row],[Age]]&lt;=45,"Mid Career","Senior")))</f>
        <v>Early Career</v>
      </c>
      <c r="AK406" t="str">
        <f>IF(Table1[[#This Row],[MonthlyIncome]]&lt;3000,"Low",IF(Table1[[#This Row],[MonthlyIncome]]&lt;7000,"Medium","High"))</f>
        <v>Medium</v>
      </c>
      <c r="AL40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07" spans="1:38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tr">
        <f>IF(Table1[[#This Row],[Age]]&lt;=25,"Young",IF(Table1[[#This Row],[Age]]&lt;=35,"Early Career",IF(Table1[[#This Row],[Age]]&lt;=45,"Mid Career","Senior")))</f>
        <v>Young</v>
      </c>
      <c r="AK407" t="str">
        <f>IF(Table1[[#This Row],[MonthlyIncome]]&lt;3000,"Low",IF(Table1[[#This Row],[MonthlyIncome]]&lt;7000,"Medium","High"))</f>
        <v>Medium</v>
      </c>
      <c r="AL40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408" spans="1:38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tr">
        <f>IF(Table1[[#This Row],[Age]]&lt;=25,"Young",IF(Table1[[#This Row],[Age]]&lt;=35,"Early Career",IF(Table1[[#This Row],[Age]]&lt;=45,"Mid Career","Senior")))</f>
        <v>Senior</v>
      </c>
      <c r="AK408" t="str">
        <f>IF(Table1[[#This Row],[MonthlyIncome]]&lt;3000,"Low",IF(Table1[[#This Row],[MonthlyIncome]]&lt;7000,"Medium","High"))</f>
        <v>High</v>
      </c>
      <c r="AL40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409" spans="1:38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tr">
        <f>IF(Table1[[#This Row],[Age]]&lt;=25,"Young",IF(Table1[[#This Row],[Age]]&lt;=35,"Early Career",IF(Table1[[#This Row],[Age]]&lt;=45,"Mid Career","Senior")))</f>
        <v>Mid Career</v>
      </c>
      <c r="AK409" t="str">
        <f>IF(Table1[[#This Row],[MonthlyIncome]]&lt;3000,"Low",IF(Table1[[#This Row],[MonthlyIncome]]&lt;7000,"Medium","High"))</f>
        <v>Low</v>
      </c>
      <c r="AL40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410" spans="1:38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tr">
        <f>IF(Table1[[#This Row],[Age]]&lt;=25,"Young",IF(Table1[[#This Row],[Age]]&lt;=35,"Early Career",IF(Table1[[#This Row],[Age]]&lt;=45,"Mid Career","Senior")))</f>
        <v>Senior</v>
      </c>
      <c r="AK410" t="str">
        <f>IF(Table1[[#This Row],[MonthlyIncome]]&lt;3000,"Low",IF(Table1[[#This Row],[MonthlyIncome]]&lt;7000,"Medium","High"))</f>
        <v>High</v>
      </c>
      <c r="AL41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411" spans="1:38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tr">
        <f>IF(Table1[[#This Row],[Age]]&lt;=25,"Young",IF(Table1[[#This Row],[Age]]&lt;=35,"Early Career",IF(Table1[[#This Row],[Age]]&lt;=45,"Mid Career","Senior")))</f>
        <v>Mid Career</v>
      </c>
      <c r="AK411" t="str">
        <f>IF(Table1[[#This Row],[MonthlyIncome]]&lt;3000,"Low",IF(Table1[[#This Row],[MonthlyIncome]]&lt;7000,"Medium","High"))</f>
        <v>Medium</v>
      </c>
      <c r="AL41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412" spans="1:38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tr">
        <f>IF(Table1[[#This Row],[Age]]&lt;=25,"Young",IF(Table1[[#This Row],[Age]]&lt;=35,"Early Career",IF(Table1[[#This Row],[Age]]&lt;=45,"Mid Career","Senior")))</f>
        <v>Early Career</v>
      </c>
      <c r="AK412" t="str">
        <f>IF(Table1[[#This Row],[MonthlyIncome]]&lt;3000,"Low",IF(Table1[[#This Row],[MonthlyIncome]]&lt;7000,"Medium","High"))</f>
        <v>Medium</v>
      </c>
      <c r="AL41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413" spans="1:38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tr">
        <f>IF(Table1[[#This Row],[Age]]&lt;=25,"Young",IF(Table1[[#This Row],[Age]]&lt;=35,"Early Career",IF(Table1[[#This Row],[Age]]&lt;=45,"Mid Career","Senior")))</f>
        <v>Senior</v>
      </c>
      <c r="AK413" t="str">
        <f>IF(Table1[[#This Row],[MonthlyIncome]]&lt;3000,"Low",IF(Table1[[#This Row],[MonthlyIncome]]&lt;7000,"Medium","High"))</f>
        <v>High</v>
      </c>
      <c r="AL413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414" spans="1:38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tr">
        <f>IF(Table1[[#This Row],[Age]]&lt;=25,"Young",IF(Table1[[#This Row],[Age]]&lt;=35,"Early Career",IF(Table1[[#This Row],[Age]]&lt;=45,"Mid Career","Senior")))</f>
        <v>Senior</v>
      </c>
      <c r="AK414" t="str">
        <f>IF(Table1[[#This Row],[MonthlyIncome]]&lt;3000,"Low",IF(Table1[[#This Row],[MonthlyIncome]]&lt;7000,"Medium","High"))</f>
        <v>Medium</v>
      </c>
      <c r="AL41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15" spans="1:38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tr">
        <f>IF(Table1[[#This Row],[Age]]&lt;=25,"Young",IF(Table1[[#This Row],[Age]]&lt;=35,"Early Career",IF(Table1[[#This Row],[Age]]&lt;=45,"Mid Career","Senior")))</f>
        <v>Mid Career</v>
      </c>
      <c r="AK415" t="str">
        <f>IF(Table1[[#This Row],[MonthlyIncome]]&lt;3000,"Low",IF(Table1[[#This Row],[MonthlyIncome]]&lt;7000,"Medium","High"))</f>
        <v>Medium</v>
      </c>
      <c r="AL41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16" spans="1:38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tr">
        <f>IF(Table1[[#This Row],[Age]]&lt;=25,"Young",IF(Table1[[#This Row],[Age]]&lt;=35,"Early Career",IF(Table1[[#This Row],[Age]]&lt;=45,"Mid Career","Senior")))</f>
        <v>Young</v>
      </c>
      <c r="AK416" t="str">
        <f>IF(Table1[[#This Row],[MonthlyIncome]]&lt;3000,"Low",IF(Table1[[#This Row],[MonthlyIncome]]&lt;7000,"Medium","High"))</f>
        <v>Medium</v>
      </c>
      <c r="AL41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417" spans="1:38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tr">
        <f>IF(Table1[[#This Row],[Age]]&lt;=25,"Young",IF(Table1[[#This Row],[Age]]&lt;=35,"Early Career",IF(Table1[[#This Row],[Age]]&lt;=45,"Mid Career","Senior")))</f>
        <v>Early Career</v>
      </c>
      <c r="AK417" t="str">
        <f>IF(Table1[[#This Row],[MonthlyIncome]]&lt;3000,"Low",IF(Table1[[#This Row],[MonthlyIncome]]&lt;7000,"Medium","High"))</f>
        <v>Low</v>
      </c>
      <c r="AL41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418" spans="1:38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tr">
        <f>IF(Table1[[#This Row],[Age]]&lt;=25,"Young",IF(Table1[[#This Row],[Age]]&lt;=35,"Early Career",IF(Table1[[#This Row],[Age]]&lt;=45,"Mid Career","Senior")))</f>
        <v>Mid Career</v>
      </c>
      <c r="AK418" t="str">
        <f>IF(Table1[[#This Row],[MonthlyIncome]]&lt;3000,"Low",IF(Table1[[#This Row],[MonthlyIncome]]&lt;7000,"Medium","High"))</f>
        <v>Low</v>
      </c>
      <c r="AL41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419" spans="1:38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tr">
        <f>IF(Table1[[#This Row],[Age]]&lt;=25,"Young",IF(Table1[[#This Row],[Age]]&lt;=35,"Early Career",IF(Table1[[#This Row],[Age]]&lt;=45,"Mid Career","Senior")))</f>
        <v>Mid Career</v>
      </c>
      <c r="AK419" t="str">
        <f>IF(Table1[[#This Row],[MonthlyIncome]]&lt;3000,"Low",IF(Table1[[#This Row],[MonthlyIncome]]&lt;7000,"Medium","High"))</f>
        <v>High</v>
      </c>
      <c r="AL419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420" spans="1:38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tr">
        <f>IF(Table1[[#This Row],[Age]]&lt;=25,"Young",IF(Table1[[#This Row],[Age]]&lt;=35,"Early Career",IF(Table1[[#This Row],[Age]]&lt;=45,"Mid Career","Senior")))</f>
        <v>Early Career</v>
      </c>
      <c r="AK420" t="str">
        <f>IF(Table1[[#This Row],[MonthlyIncome]]&lt;3000,"Low",IF(Table1[[#This Row],[MonthlyIncome]]&lt;7000,"Medium","High"))</f>
        <v>Low</v>
      </c>
      <c r="AL42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421" spans="1:38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tr">
        <f>IF(Table1[[#This Row],[Age]]&lt;=25,"Young",IF(Table1[[#This Row],[Age]]&lt;=35,"Early Career",IF(Table1[[#This Row],[Age]]&lt;=45,"Mid Career","Senior")))</f>
        <v>Early Career</v>
      </c>
      <c r="AK421" t="str">
        <f>IF(Table1[[#This Row],[MonthlyIncome]]&lt;3000,"Low",IF(Table1[[#This Row],[MonthlyIncome]]&lt;7000,"Medium","High"))</f>
        <v>Low</v>
      </c>
      <c r="AL42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422" spans="1:38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tr">
        <f>IF(Table1[[#This Row],[Age]]&lt;=25,"Young",IF(Table1[[#This Row],[Age]]&lt;=35,"Early Career",IF(Table1[[#This Row],[Age]]&lt;=45,"Mid Career","Senior")))</f>
        <v>Early Career</v>
      </c>
      <c r="AK422" t="str">
        <f>IF(Table1[[#This Row],[MonthlyIncome]]&lt;3000,"Low",IF(Table1[[#This Row],[MonthlyIncome]]&lt;7000,"Medium","High"))</f>
        <v>High</v>
      </c>
      <c r="AL42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23" spans="1:38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tr">
        <f>IF(Table1[[#This Row],[Age]]&lt;=25,"Young",IF(Table1[[#This Row],[Age]]&lt;=35,"Early Career",IF(Table1[[#This Row],[Age]]&lt;=45,"Mid Career","Senior")))</f>
        <v>Early Career</v>
      </c>
      <c r="AK423" t="str">
        <f>IF(Table1[[#This Row],[MonthlyIncome]]&lt;3000,"Low",IF(Table1[[#This Row],[MonthlyIncome]]&lt;7000,"Medium","High"))</f>
        <v>Low</v>
      </c>
      <c r="AL42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424" spans="1:38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tr">
        <f>IF(Table1[[#This Row],[Age]]&lt;=25,"Young",IF(Table1[[#This Row],[Age]]&lt;=35,"Early Career",IF(Table1[[#This Row],[Age]]&lt;=45,"Mid Career","Senior")))</f>
        <v>Young</v>
      </c>
      <c r="AK424" t="str">
        <f>IF(Table1[[#This Row],[MonthlyIncome]]&lt;3000,"Low",IF(Table1[[#This Row],[MonthlyIncome]]&lt;7000,"Medium","High"))</f>
        <v>Low</v>
      </c>
      <c r="AL42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425" spans="1:38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tr">
        <f>IF(Table1[[#This Row],[Age]]&lt;=25,"Young",IF(Table1[[#This Row],[Age]]&lt;=35,"Early Career",IF(Table1[[#This Row],[Age]]&lt;=45,"Mid Career","Senior")))</f>
        <v>Early Career</v>
      </c>
      <c r="AK425" t="str">
        <f>IF(Table1[[#This Row],[MonthlyIncome]]&lt;3000,"Low",IF(Table1[[#This Row],[MonthlyIncome]]&lt;7000,"Medium","High"))</f>
        <v>High</v>
      </c>
      <c r="AL42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26" spans="1:38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tr">
        <f>IF(Table1[[#This Row],[Age]]&lt;=25,"Young",IF(Table1[[#This Row],[Age]]&lt;=35,"Early Career",IF(Table1[[#This Row],[Age]]&lt;=45,"Mid Career","Senior")))</f>
        <v>Senior</v>
      </c>
      <c r="AK426" t="str">
        <f>IF(Table1[[#This Row],[MonthlyIncome]]&lt;3000,"Low",IF(Table1[[#This Row],[MonthlyIncome]]&lt;7000,"Medium","High"))</f>
        <v>High</v>
      </c>
      <c r="AL426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427" spans="1:38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tr">
        <f>IF(Table1[[#This Row],[Age]]&lt;=25,"Young",IF(Table1[[#This Row],[Age]]&lt;=35,"Early Career",IF(Table1[[#This Row],[Age]]&lt;=45,"Mid Career","Senior")))</f>
        <v>Senior</v>
      </c>
      <c r="AK427" t="str">
        <f>IF(Table1[[#This Row],[MonthlyIncome]]&lt;3000,"Low",IF(Table1[[#This Row],[MonthlyIncome]]&lt;7000,"Medium","High"))</f>
        <v>High</v>
      </c>
      <c r="AL427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428" spans="1:38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tr">
        <f>IF(Table1[[#This Row],[Age]]&lt;=25,"Young",IF(Table1[[#This Row],[Age]]&lt;=35,"Early Career",IF(Table1[[#This Row],[Age]]&lt;=45,"Mid Career","Senior")))</f>
        <v>Early Career</v>
      </c>
      <c r="AK428" t="str">
        <f>IF(Table1[[#This Row],[MonthlyIncome]]&lt;3000,"Low",IF(Table1[[#This Row],[MonthlyIncome]]&lt;7000,"Medium","High"))</f>
        <v>Low</v>
      </c>
      <c r="AL428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429" spans="1:38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tr">
        <f>IF(Table1[[#This Row],[Age]]&lt;=25,"Young",IF(Table1[[#This Row],[Age]]&lt;=35,"Early Career",IF(Table1[[#This Row],[Age]]&lt;=45,"Mid Career","Senior")))</f>
        <v>Senior</v>
      </c>
      <c r="AK429" t="str">
        <f>IF(Table1[[#This Row],[MonthlyIncome]]&lt;3000,"Low",IF(Table1[[#This Row],[MonthlyIncome]]&lt;7000,"Medium","High"))</f>
        <v>High</v>
      </c>
      <c r="AL429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430" spans="1:38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tr">
        <f>IF(Table1[[#This Row],[Age]]&lt;=25,"Young",IF(Table1[[#This Row],[Age]]&lt;=35,"Early Career",IF(Table1[[#This Row],[Age]]&lt;=45,"Mid Career","Senior")))</f>
        <v>Senior</v>
      </c>
      <c r="AK430" t="str">
        <f>IF(Table1[[#This Row],[MonthlyIncome]]&lt;3000,"Low",IF(Table1[[#This Row],[MonthlyIncome]]&lt;7000,"Medium","High"))</f>
        <v>Medium</v>
      </c>
      <c r="AL43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431" spans="1:38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tr">
        <f>IF(Table1[[#This Row],[Age]]&lt;=25,"Young",IF(Table1[[#This Row],[Age]]&lt;=35,"Early Career",IF(Table1[[#This Row],[Age]]&lt;=45,"Mid Career","Senior")))</f>
        <v>Senior</v>
      </c>
      <c r="AK431" t="str">
        <f>IF(Table1[[#This Row],[MonthlyIncome]]&lt;3000,"Low",IF(Table1[[#This Row],[MonthlyIncome]]&lt;7000,"Medium","High"))</f>
        <v>High</v>
      </c>
      <c r="AL43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432" spans="1:38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tr">
        <f>IF(Table1[[#This Row],[Age]]&lt;=25,"Young",IF(Table1[[#This Row],[Age]]&lt;=35,"Early Career",IF(Table1[[#This Row],[Age]]&lt;=45,"Mid Career","Senior")))</f>
        <v>Early Career</v>
      </c>
      <c r="AK432" t="str">
        <f>IF(Table1[[#This Row],[MonthlyIncome]]&lt;3000,"Low",IF(Table1[[#This Row],[MonthlyIncome]]&lt;7000,"Medium","High"))</f>
        <v>Medium</v>
      </c>
      <c r="AL43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433" spans="1:38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tr">
        <f>IF(Table1[[#This Row],[Age]]&lt;=25,"Young",IF(Table1[[#This Row],[Age]]&lt;=35,"Early Career",IF(Table1[[#This Row],[Age]]&lt;=45,"Mid Career","Senior")))</f>
        <v>Senior</v>
      </c>
      <c r="AK433" t="str">
        <f>IF(Table1[[#This Row],[MonthlyIncome]]&lt;3000,"Low",IF(Table1[[#This Row],[MonthlyIncome]]&lt;7000,"Medium","High"))</f>
        <v>Medium</v>
      </c>
      <c r="AL43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434" spans="1:38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tr">
        <f>IF(Table1[[#This Row],[Age]]&lt;=25,"Young",IF(Table1[[#This Row],[Age]]&lt;=35,"Early Career",IF(Table1[[#This Row],[Age]]&lt;=45,"Mid Career","Senior")))</f>
        <v>Early Career</v>
      </c>
      <c r="AK434" t="str">
        <f>IF(Table1[[#This Row],[MonthlyIncome]]&lt;3000,"Low",IF(Table1[[#This Row],[MonthlyIncome]]&lt;7000,"Medium","High"))</f>
        <v>Low</v>
      </c>
      <c r="AL43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35" spans="1:38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tr">
        <f>IF(Table1[[#This Row],[Age]]&lt;=25,"Young",IF(Table1[[#This Row],[Age]]&lt;=35,"Early Career",IF(Table1[[#This Row],[Age]]&lt;=45,"Mid Career","Senior")))</f>
        <v>Senior</v>
      </c>
      <c r="AK435" t="str">
        <f>IF(Table1[[#This Row],[MonthlyIncome]]&lt;3000,"Low",IF(Table1[[#This Row],[MonthlyIncome]]&lt;7000,"Medium","High"))</f>
        <v>High</v>
      </c>
      <c r="AL43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436" spans="1:38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tr">
        <f>IF(Table1[[#This Row],[Age]]&lt;=25,"Young",IF(Table1[[#This Row],[Age]]&lt;=35,"Early Career",IF(Table1[[#This Row],[Age]]&lt;=45,"Mid Career","Senior")))</f>
        <v>Early Career</v>
      </c>
      <c r="AK436" t="str">
        <f>IF(Table1[[#This Row],[MonthlyIncome]]&lt;3000,"Low",IF(Table1[[#This Row],[MonthlyIncome]]&lt;7000,"Medium","High"))</f>
        <v>High</v>
      </c>
      <c r="AL436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437" spans="1:38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tr">
        <f>IF(Table1[[#This Row],[Age]]&lt;=25,"Young",IF(Table1[[#This Row],[Age]]&lt;=35,"Early Career",IF(Table1[[#This Row],[Age]]&lt;=45,"Mid Career","Senior")))</f>
        <v>Early Career</v>
      </c>
      <c r="AK437" t="str">
        <f>IF(Table1[[#This Row],[MonthlyIncome]]&lt;3000,"Low",IF(Table1[[#This Row],[MonthlyIncome]]&lt;7000,"Medium","High"))</f>
        <v>High</v>
      </c>
      <c r="AL43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38" spans="1:38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tr">
        <f>IF(Table1[[#This Row],[Age]]&lt;=25,"Young",IF(Table1[[#This Row],[Age]]&lt;=35,"Early Career",IF(Table1[[#This Row],[Age]]&lt;=45,"Mid Career","Senior")))</f>
        <v>Early Career</v>
      </c>
      <c r="AK438" t="str">
        <f>IF(Table1[[#This Row],[MonthlyIncome]]&lt;3000,"Low",IF(Table1[[#This Row],[MonthlyIncome]]&lt;7000,"Medium","High"))</f>
        <v>Medium</v>
      </c>
      <c r="AL43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439" spans="1:38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tr">
        <f>IF(Table1[[#This Row],[Age]]&lt;=25,"Young",IF(Table1[[#This Row],[Age]]&lt;=35,"Early Career",IF(Table1[[#This Row],[Age]]&lt;=45,"Mid Career","Senior")))</f>
        <v>Early Career</v>
      </c>
      <c r="AK439" t="str">
        <f>IF(Table1[[#This Row],[MonthlyIncome]]&lt;3000,"Low",IF(Table1[[#This Row],[MonthlyIncome]]&lt;7000,"Medium","High"))</f>
        <v>Low</v>
      </c>
      <c r="AL43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440" spans="1:38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tr">
        <f>IF(Table1[[#This Row],[Age]]&lt;=25,"Young",IF(Table1[[#This Row],[Age]]&lt;=35,"Early Career",IF(Table1[[#This Row],[Age]]&lt;=45,"Mid Career","Senior")))</f>
        <v>Early Career</v>
      </c>
      <c r="AK440" t="str">
        <f>IF(Table1[[#This Row],[MonthlyIncome]]&lt;3000,"Low",IF(Table1[[#This Row],[MonthlyIncome]]&lt;7000,"Medium","High"))</f>
        <v>High</v>
      </c>
      <c r="AL44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41" spans="1:38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tr">
        <f>IF(Table1[[#This Row],[Age]]&lt;=25,"Young",IF(Table1[[#This Row],[Age]]&lt;=35,"Early Career",IF(Table1[[#This Row],[Age]]&lt;=45,"Mid Career","Senior")))</f>
        <v>Early Career</v>
      </c>
      <c r="AK441" t="str">
        <f>IF(Table1[[#This Row],[MonthlyIncome]]&lt;3000,"Low",IF(Table1[[#This Row],[MonthlyIncome]]&lt;7000,"Medium","High"))</f>
        <v>High</v>
      </c>
      <c r="AL44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442" spans="1:38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tr">
        <f>IF(Table1[[#This Row],[Age]]&lt;=25,"Young",IF(Table1[[#This Row],[Age]]&lt;=35,"Early Career",IF(Table1[[#This Row],[Age]]&lt;=45,"Mid Career","Senior")))</f>
        <v>Early Career</v>
      </c>
      <c r="AK442" t="str">
        <f>IF(Table1[[#This Row],[MonthlyIncome]]&lt;3000,"Low",IF(Table1[[#This Row],[MonthlyIncome]]&lt;7000,"Medium","High"))</f>
        <v>High</v>
      </c>
      <c r="AL44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443" spans="1:38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tr">
        <f>IF(Table1[[#This Row],[Age]]&lt;=25,"Young",IF(Table1[[#This Row],[Age]]&lt;=35,"Early Career",IF(Table1[[#This Row],[Age]]&lt;=45,"Mid Career","Senior")))</f>
        <v>Mid Career</v>
      </c>
      <c r="AK443" t="str">
        <f>IF(Table1[[#This Row],[MonthlyIncome]]&lt;3000,"Low",IF(Table1[[#This Row],[MonthlyIncome]]&lt;7000,"Medium","High"))</f>
        <v>Low</v>
      </c>
      <c r="AL44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444" spans="1:38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tr">
        <f>IF(Table1[[#This Row],[Age]]&lt;=25,"Young",IF(Table1[[#This Row],[Age]]&lt;=35,"Early Career",IF(Table1[[#This Row],[Age]]&lt;=45,"Mid Career","Senior")))</f>
        <v>Mid Career</v>
      </c>
      <c r="AK444" t="str">
        <f>IF(Table1[[#This Row],[MonthlyIncome]]&lt;3000,"Low",IF(Table1[[#This Row],[MonthlyIncome]]&lt;7000,"Medium","High"))</f>
        <v>High</v>
      </c>
      <c r="AL44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45" spans="1:38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tr">
        <f>IF(Table1[[#This Row],[Age]]&lt;=25,"Young",IF(Table1[[#This Row],[Age]]&lt;=35,"Early Career",IF(Table1[[#This Row],[Age]]&lt;=45,"Mid Career","Senior")))</f>
        <v>Young</v>
      </c>
      <c r="AK445" t="str">
        <f>IF(Table1[[#This Row],[MonthlyIncome]]&lt;3000,"Low",IF(Table1[[#This Row],[MonthlyIncome]]&lt;7000,"Medium","High"))</f>
        <v>Medium</v>
      </c>
      <c r="AL445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446" spans="1:38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tr">
        <f>IF(Table1[[#This Row],[Age]]&lt;=25,"Young",IF(Table1[[#This Row],[Age]]&lt;=35,"Early Career",IF(Table1[[#This Row],[Age]]&lt;=45,"Mid Career","Senior")))</f>
        <v>Senior</v>
      </c>
      <c r="AK446" t="str">
        <f>IF(Table1[[#This Row],[MonthlyIncome]]&lt;3000,"Low",IF(Table1[[#This Row],[MonthlyIncome]]&lt;7000,"Medium","High"))</f>
        <v>Medium</v>
      </c>
      <c r="AL44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47" spans="1:38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tr">
        <f>IF(Table1[[#This Row],[Age]]&lt;=25,"Young",IF(Table1[[#This Row],[Age]]&lt;=35,"Early Career",IF(Table1[[#This Row],[Age]]&lt;=45,"Mid Career","Senior")))</f>
        <v>Senior</v>
      </c>
      <c r="AK447" t="str">
        <f>IF(Table1[[#This Row],[MonthlyIncome]]&lt;3000,"Low",IF(Table1[[#This Row],[MonthlyIncome]]&lt;7000,"Medium","High"))</f>
        <v>High</v>
      </c>
      <c r="AL44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48" spans="1:38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tr">
        <f>IF(Table1[[#This Row],[Age]]&lt;=25,"Young",IF(Table1[[#This Row],[Age]]&lt;=35,"Early Career",IF(Table1[[#This Row],[Age]]&lt;=45,"Mid Career","Senior")))</f>
        <v>Mid Career</v>
      </c>
      <c r="AK448" t="str">
        <f>IF(Table1[[#This Row],[MonthlyIncome]]&lt;3000,"Low",IF(Table1[[#This Row],[MonthlyIncome]]&lt;7000,"Medium","High"))</f>
        <v>Medium</v>
      </c>
      <c r="AL448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449" spans="1:38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tr">
        <f>IF(Table1[[#This Row],[Age]]&lt;=25,"Young",IF(Table1[[#This Row],[Age]]&lt;=35,"Early Career",IF(Table1[[#This Row],[Age]]&lt;=45,"Mid Career","Senior")))</f>
        <v>Early Career</v>
      </c>
      <c r="AK449" t="str">
        <f>IF(Table1[[#This Row],[MonthlyIncome]]&lt;3000,"Low",IF(Table1[[#This Row],[MonthlyIncome]]&lt;7000,"Medium","High"))</f>
        <v>Medium</v>
      </c>
      <c r="AL449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450" spans="1:38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tr">
        <f>IF(Table1[[#This Row],[Age]]&lt;=25,"Young",IF(Table1[[#This Row],[Age]]&lt;=35,"Early Career",IF(Table1[[#This Row],[Age]]&lt;=45,"Mid Career","Senior")))</f>
        <v>Mid Career</v>
      </c>
      <c r="AK450" t="str">
        <f>IF(Table1[[#This Row],[MonthlyIncome]]&lt;3000,"Low",IF(Table1[[#This Row],[MonthlyIncome]]&lt;7000,"Medium","High"))</f>
        <v>High</v>
      </c>
      <c r="AL450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451" spans="1:38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tr">
        <f>IF(Table1[[#This Row],[Age]]&lt;=25,"Young",IF(Table1[[#This Row],[Age]]&lt;=35,"Early Career",IF(Table1[[#This Row],[Age]]&lt;=45,"Mid Career","Senior")))</f>
        <v>Mid Career</v>
      </c>
      <c r="AK451" t="str">
        <f>IF(Table1[[#This Row],[MonthlyIncome]]&lt;3000,"Low",IF(Table1[[#This Row],[MonthlyIncome]]&lt;7000,"Medium","High"))</f>
        <v>Medium</v>
      </c>
      <c r="AL45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52" spans="1:38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tr">
        <f>IF(Table1[[#This Row],[Age]]&lt;=25,"Young",IF(Table1[[#This Row],[Age]]&lt;=35,"Early Career",IF(Table1[[#This Row],[Age]]&lt;=45,"Mid Career","Senior")))</f>
        <v>Early Career</v>
      </c>
      <c r="AK452" t="str">
        <f>IF(Table1[[#This Row],[MonthlyIncome]]&lt;3000,"Low",IF(Table1[[#This Row],[MonthlyIncome]]&lt;7000,"Medium","High"))</f>
        <v>Medium</v>
      </c>
      <c r="AL45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53" spans="1:38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tr">
        <f>IF(Table1[[#This Row],[Age]]&lt;=25,"Young",IF(Table1[[#This Row],[Age]]&lt;=35,"Early Career",IF(Table1[[#This Row],[Age]]&lt;=45,"Mid Career","Senior")))</f>
        <v>Mid Career</v>
      </c>
      <c r="AK453" t="str">
        <f>IF(Table1[[#This Row],[MonthlyIncome]]&lt;3000,"Low",IF(Table1[[#This Row],[MonthlyIncome]]&lt;7000,"Medium","High"))</f>
        <v>High</v>
      </c>
      <c r="AL45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54" spans="1:38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tr">
        <f>IF(Table1[[#This Row],[Age]]&lt;=25,"Young",IF(Table1[[#This Row],[Age]]&lt;=35,"Early Career",IF(Table1[[#This Row],[Age]]&lt;=45,"Mid Career","Senior")))</f>
        <v>Mid Career</v>
      </c>
      <c r="AK454" t="str">
        <f>IF(Table1[[#This Row],[MonthlyIncome]]&lt;3000,"Low",IF(Table1[[#This Row],[MonthlyIncome]]&lt;7000,"Medium","High"))</f>
        <v>Medium</v>
      </c>
      <c r="AL45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55" spans="1:38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tr">
        <f>IF(Table1[[#This Row],[Age]]&lt;=25,"Young",IF(Table1[[#This Row],[Age]]&lt;=35,"Early Career",IF(Table1[[#This Row],[Age]]&lt;=45,"Mid Career","Senior")))</f>
        <v>Early Career</v>
      </c>
      <c r="AK455" t="str">
        <f>IF(Table1[[#This Row],[MonthlyIncome]]&lt;3000,"Low",IF(Table1[[#This Row],[MonthlyIncome]]&lt;7000,"Medium","High"))</f>
        <v>Low</v>
      </c>
      <c r="AL45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56" spans="1:38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tr">
        <f>IF(Table1[[#This Row],[Age]]&lt;=25,"Young",IF(Table1[[#This Row],[Age]]&lt;=35,"Early Career",IF(Table1[[#This Row],[Age]]&lt;=45,"Mid Career","Senior")))</f>
        <v>Early Career</v>
      </c>
      <c r="AK456" t="str">
        <f>IF(Table1[[#This Row],[MonthlyIncome]]&lt;3000,"Low",IF(Table1[[#This Row],[MonthlyIncome]]&lt;7000,"Medium","High"))</f>
        <v>Medium</v>
      </c>
      <c r="AL45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457" spans="1:38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tr">
        <f>IF(Table1[[#This Row],[Age]]&lt;=25,"Young",IF(Table1[[#This Row],[Age]]&lt;=35,"Early Career",IF(Table1[[#This Row],[Age]]&lt;=45,"Mid Career","Senior")))</f>
        <v>Early Career</v>
      </c>
      <c r="AK457" t="str">
        <f>IF(Table1[[#This Row],[MonthlyIncome]]&lt;3000,"Low",IF(Table1[[#This Row],[MonthlyIncome]]&lt;7000,"Medium","High"))</f>
        <v>High</v>
      </c>
      <c r="AL45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58" spans="1:38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tr">
        <f>IF(Table1[[#This Row],[Age]]&lt;=25,"Young",IF(Table1[[#This Row],[Age]]&lt;=35,"Early Career",IF(Table1[[#This Row],[Age]]&lt;=45,"Mid Career","Senior")))</f>
        <v>Early Career</v>
      </c>
      <c r="AK458" t="str">
        <f>IF(Table1[[#This Row],[MonthlyIncome]]&lt;3000,"Low",IF(Table1[[#This Row],[MonthlyIncome]]&lt;7000,"Medium","High"))</f>
        <v>High</v>
      </c>
      <c r="AL45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459" spans="1:38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tr">
        <f>IF(Table1[[#This Row],[Age]]&lt;=25,"Young",IF(Table1[[#This Row],[Age]]&lt;=35,"Early Career",IF(Table1[[#This Row],[Age]]&lt;=45,"Mid Career","Senior")))</f>
        <v>Young</v>
      </c>
      <c r="AK459" t="str">
        <f>IF(Table1[[#This Row],[MonthlyIncome]]&lt;3000,"Low",IF(Table1[[#This Row],[MonthlyIncome]]&lt;7000,"Medium","High"))</f>
        <v>Low</v>
      </c>
      <c r="AL45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460" spans="1:38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tr">
        <f>IF(Table1[[#This Row],[Age]]&lt;=25,"Young",IF(Table1[[#This Row],[Age]]&lt;=35,"Early Career",IF(Table1[[#This Row],[Age]]&lt;=45,"Mid Career","Senior")))</f>
        <v>Mid Career</v>
      </c>
      <c r="AK460" t="str">
        <f>IF(Table1[[#This Row],[MonthlyIncome]]&lt;3000,"Low",IF(Table1[[#This Row],[MonthlyIncome]]&lt;7000,"Medium","High"))</f>
        <v>High</v>
      </c>
      <c r="AL46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461" spans="1:38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tr">
        <f>IF(Table1[[#This Row],[Age]]&lt;=25,"Young",IF(Table1[[#This Row],[Age]]&lt;=35,"Early Career",IF(Table1[[#This Row],[Age]]&lt;=45,"Mid Career","Senior")))</f>
        <v>Mid Career</v>
      </c>
      <c r="AK461" t="str">
        <f>IF(Table1[[#This Row],[MonthlyIncome]]&lt;3000,"Low",IF(Table1[[#This Row],[MonthlyIncome]]&lt;7000,"Medium","High"))</f>
        <v>Medium</v>
      </c>
      <c r="AL46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62" spans="1:38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tr">
        <f>IF(Table1[[#This Row],[Age]]&lt;=25,"Young",IF(Table1[[#This Row],[Age]]&lt;=35,"Early Career",IF(Table1[[#This Row],[Age]]&lt;=45,"Mid Career","Senior")))</f>
        <v>Early Career</v>
      </c>
      <c r="AK462" t="str">
        <f>IF(Table1[[#This Row],[MonthlyIncome]]&lt;3000,"Low",IF(Table1[[#This Row],[MonthlyIncome]]&lt;7000,"Medium","High"))</f>
        <v>Medium</v>
      </c>
      <c r="AL46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463" spans="1:38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tr">
        <f>IF(Table1[[#This Row],[Age]]&lt;=25,"Young",IF(Table1[[#This Row],[Age]]&lt;=35,"Early Career",IF(Table1[[#This Row],[Age]]&lt;=45,"Mid Career","Senior")))</f>
        <v>Early Career</v>
      </c>
      <c r="AK463" t="str">
        <f>IF(Table1[[#This Row],[MonthlyIncome]]&lt;3000,"Low",IF(Table1[[#This Row],[MonthlyIncome]]&lt;7000,"Medium","High"))</f>
        <v>Medium</v>
      </c>
      <c r="AL463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464" spans="1:38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tr">
        <f>IF(Table1[[#This Row],[Age]]&lt;=25,"Young",IF(Table1[[#This Row],[Age]]&lt;=35,"Early Career",IF(Table1[[#This Row],[Age]]&lt;=45,"Mid Career","Senior")))</f>
        <v>Early Career</v>
      </c>
      <c r="AK464" t="str">
        <f>IF(Table1[[#This Row],[MonthlyIncome]]&lt;3000,"Low",IF(Table1[[#This Row],[MonthlyIncome]]&lt;7000,"Medium","High"))</f>
        <v>Medium</v>
      </c>
      <c r="AL46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65" spans="1:38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tr">
        <f>IF(Table1[[#This Row],[Age]]&lt;=25,"Young",IF(Table1[[#This Row],[Age]]&lt;=35,"Early Career",IF(Table1[[#This Row],[Age]]&lt;=45,"Mid Career","Senior")))</f>
        <v>Early Career</v>
      </c>
      <c r="AK465" t="str">
        <f>IF(Table1[[#This Row],[MonthlyIncome]]&lt;3000,"Low",IF(Table1[[#This Row],[MonthlyIncome]]&lt;7000,"Medium","High"))</f>
        <v>Low</v>
      </c>
      <c r="AL465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466" spans="1:38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tr">
        <f>IF(Table1[[#This Row],[Age]]&lt;=25,"Young",IF(Table1[[#This Row],[Age]]&lt;=35,"Early Career",IF(Table1[[#This Row],[Age]]&lt;=45,"Mid Career","Senior")))</f>
        <v>Mid Career</v>
      </c>
      <c r="AK466" t="str">
        <f>IF(Table1[[#This Row],[MonthlyIncome]]&lt;3000,"Low",IF(Table1[[#This Row],[MonthlyIncome]]&lt;7000,"Medium","High"))</f>
        <v>High</v>
      </c>
      <c r="AL46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67" spans="1:38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tr">
        <f>IF(Table1[[#This Row],[Age]]&lt;=25,"Young",IF(Table1[[#This Row],[Age]]&lt;=35,"Early Career",IF(Table1[[#This Row],[Age]]&lt;=45,"Mid Career","Senior")))</f>
        <v>Senior</v>
      </c>
      <c r="AK467" t="str">
        <f>IF(Table1[[#This Row],[MonthlyIncome]]&lt;3000,"Low",IF(Table1[[#This Row],[MonthlyIncome]]&lt;7000,"Medium","High"))</f>
        <v>High</v>
      </c>
      <c r="AL46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468" spans="1:38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tr">
        <f>IF(Table1[[#This Row],[Age]]&lt;=25,"Young",IF(Table1[[#This Row],[Age]]&lt;=35,"Early Career",IF(Table1[[#This Row],[Age]]&lt;=45,"Mid Career","Senior")))</f>
        <v>Mid Career</v>
      </c>
      <c r="AK468" t="str">
        <f>IF(Table1[[#This Row],[MonthlyIncome]]&lt;3000,"Low",IF(Table1[[#This Row],[MonthlyIncome]]&lt;7000,"Medium","High"))</f>
        <v>High</v>
      </c>
      <c r="AL468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469" spans="1:38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tr">
        <f>IF(Table1[[#This Row],[Age]]&lt;=25,"Young",IF(Table1[[#This Row],[Age]]&lt;=35,"Early Career",IF(Table1[[#This Row],[Age]]&lt;=45,"Mid Career","Senior")))</f>
        <v>Mid Career</v>
      </c>
      <c r="AK469" t="str">
        <f>IF(Table1[[#This Row],[MonthlyIncome]]&lt;3000,"Low",IF(Table1[[#This Row],[MonthlyIncome]]&lt;7000,"Medium","High"))</f>
        <v>High</v>
      </c>
      <c r="AL469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70" spans="1:38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tr">
        <f>IF(Table1[[#This Row],[Age]]&lt;=25,"Young",IF(Table1[[#This Row],[Age]]&lt;=35,"Early Career",IF(Table1[[#This Row],[Age]]&lt;=45,"Mid Career","Senior")))</f>
        <v>Senior</v>
      </c>
      <c r="AK470" t="str">
        <f>IF(Table1[[#This Row],[MonthlyIncome]]&lt;3000,"Low",IF(Table1[[#This Row],[MonthlyIncome]]&lt;7000,"Medium","High"))</f>
        <v>Medium</v>
      </c>
      <c r="AL47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71" spans="1:38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tr">
        <f>IF(Table1[[#This Row],[Age]]&lt;=25,"Young",IF(Table1[[#This Row],[Age]]&lt;=35,"Early Career",IF(Table1[[#This Row],[Age]]&lt;=45,"Mid Career","Senior")))</f>
        <v>Early Career</v>
      </c>
      <c r="AK471" t="str">
        <f>IF(Table1[[#This Row],[MonthlyIncome]]&lt;3000,"Low",IF(Table1[[#This Row],[MonthlyIncome]]&lt;7000,"Medium","High"))</f>
        <v>Medium</v>
      </c>
      <c r="AL47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472" spans="1:38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tr">
        <f>IF(Table1[[#This Row],[Age]]&lt;=25,"Young",IF(Table1[[#This Row],[Age]]&lt;=35,"Early Career",IF(Table1[[#This Row],[Age]]&lt;=45,"Mid Career","Senior")))</f>
        <v>Young</v>
      </c>
      <c r="AK472" t="str">
        <f>IF(Table1[[#This Row],[MonthlyIncome]]&lt;3000,"Low",IF(Table1[[#This Row],[MonthlyIncome]]&lt;7000,"Medium","High"))</f>
        <v>Low</v>
      </c>
      <c r="AL47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473" spans="1:38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tr">
        <f>IF(Table1[[#This Row],[Age]]&lt;=25,"Young",IF(Table1[[#This Row],[Age]]&lt;=35,"Early Career",IF(Table1[[#This Row],[Age]]&lt;=45,"Mid Career","Senior")))</f>
        <v>Mid Career</v>
      </c>
      <c r="AK473" t="str">
        <f>IF(Table1[[#This Row],[MonthlyIncome]]&lt;3000,"Low",IF(Table1[[#This Row],[MonthlyIncome]]&lt;7000,"Medium","High"))</f>
        <v>High</v>
      </c>
      <c r="AL47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474" spans="1:38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tr">
        <f>IF(Table1[[#This Row],[Age]]&lt;=25,"Young",IF(Table1[[#This Row],[Age]]&lt;=35,"Early Career",IF(Table1[[#This Row],[Age]]&lt;=45,"Mid Career","Senior")))</f>
        <v>Mid Career</v>
      </c>
      <c r="AK474" t="str">
        <f>IF(Table1[[#This Row],[MonthlyIncome]]&lt;3000,"Low",IF(Table1[[#This Row],[MonthlyIncome]]&lt;7000,"Medium","High"))</f>
        <v>Medium</v>
      </c>
      <c r="AL47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75" spans="1:38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tr">
        <f>IF(Table1[[#This Row],[Age]]&lt;=25,"Young",IF(Table1[[#This Row],[Age]]&lt;=35,"Early Career",IF(Table1[[#This Row],[Age]]&lt;=45,"Mid Career","Senior")))</f>
        <v>Senior</v>
      </c>
      <c r="AK475" t="str">
        <f>IF(Table1[[#This Row],[MonthlyIncome]]&lt;3000,"Low",IF(Table1[[#This Row],[MonthlyIncome]]&lt;7000,"Medium","High"))</f>
        <v>High</v>
      </c>
      <c r="AL475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476" spans="1:38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tr">
        <f>IF(Table1[[#This Row],[Age]]&lt;=25,"Young",IF(Table1[[#This Row],[Age]]&lt;=35,"Early Career",IF(Table1[[#This Row],[Age]]&lt;=45,"Mid Career","Senior")))</f>
        <v>Young</v>
      </c>
      <c r="AK476" t="str">
        <f>IF(Table1[[#This Row],[MonthlyIncome]]&lt;3000,"Low",IF(Table1[[#This Row],[MonthlyIncome]]&lt;7000,"Medium","High"))</f>
        <v>Low</v>
      </c>
      <c r="AL47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77" spans="1:38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tr">
        <f>IF(Table1[[#This Row],[Age]]&lt;=25,"Young",IF(Table1[[#This Row],[Age]]&lt;=35,"Early Career",IF(Table1[[#This Row],[Age]]&lt;=45,"Mid Career","Senior")))</f>
        <v>Early Career</v>
      </c>
      <c r="AK477" t="str">
        <f>IF(Table1[[#This Row],[MonthlyIncome]]&lt;3000,"Low",IF(Table1[[#This Row],[MonthlyIncome]]&lt;7000,"Medium","High"))</f>
        <v>Medium</v>
      </c>
      <c r="AL47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478" spans="1:38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tr">
        <f>IF(Table1[[#This Row],[Age]]&lt;=25,"Young",IF(Table1[[#This Row],[Age]]&lt;=35,"Early Career",IF(Table1[[#This Row],[Age]]&lt;=45,"Mid Career","Senior")))</f>
        <v>Young</v>
      </c>
      <c r="AK478" t="str">
        <f>IF(Table1[[#This Row],[MonthlyIncome]]&lt;3000,"Low",IF(Table1[[#This Row],[MonthlyIncome]]&lt;7000,"Medium","High"))</f>
        <v>Low</v>
      </c>
      <c r="AL47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479" spans="1:38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tr">
        <f>IF(Table1[[#This Row],[Age]]&lt;=25,"Young",IF(Table1[[#This Row],[Age]]&lt;=35,"Early Career",IF(Table1[[#This Row],[Age]]&lt;=45,"Mid Career","Senior")))</f>
        <v>Senior</v>
      </c>
      <c r="AK479" t="str">
        <f>IF(Table1[[#This Row],[MonthlyIncome]]&lt;3000,"Low",IF(Table1[[#This Row],[MonthlyIncome]]&lt;7000,"Medium","High"))</f>
        <v>High</v>
      </c>
      <c r="AL479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480" spans="1:38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tr">
        <f>IF(Table1[[#This Row],[Age]]&lt;=25,"Young",IF(Table1[[#This Row],[Age]]&lt;=35,"Early Career",IF(Table1[[#This Row],[Age]]&lt;=45,"Mid Career","Senior")))</f>
        <v>Young</v>
      </c>
      <c r="AK480" t="str">
        <f>IF(Table1[[#This Row],[MonthlyIncome]]&lt;3000,"Low",IF(Table1[[#This Row],[MonthlyIncome]]&lt;7000,"Medium","High"))</f>
        <v>Low</v>
      </c>
      <c r="AL48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81" spans="1:38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tr">
        <f>IF(Table1[[#This Row],[Age]]&lt;=25,"Young",IF(Table1[[#This Row],[Age]]&lt;=35,"Early Career",IF(Table1[[#This Row],[Age]]&lt;=45,"Mid Career","Senior")))</f>
        <v>Young</v>
      </c>
      <c r="AK481" t="str">
        <f>IF(Table1[[#This Row],[MonthlyIncome]]&lt;3000,"Low",IF(Table1[[#This Row],[MonthlyIncome]]&lt;7000,"Medium","High"))</f>
        <v>Low</v>
      </c>
      <c r="AL48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82" spans="1:38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tr">
        <f>IF(Table1[[#This Row],[Age]]&lt;=25,"Young",IF(Table1[[#This Row],[Age]]&lt;=35,"Early Career",IF(Table1[[#This Row],[Age]]&lt;=45,"Mid Career","Senior")))</f>
        <v>Early Career</v>
      </c>
      <c r="AK482" t="str">
        <f>IF(Table1[[#This Row],[MonthlyIncome]]&lt;3000,"Low",IF(Table1[[#This Row],[MonthlyIncome]]&lt;7000,"Medium","High"))</f>
        <v>Low</v>
      </c>
      <c r="AL48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483" spans="1:38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tr">
        <f>IF(Table1[[#This Row],[Age]]&lt;=25,"Young",IF(Table1[[#This Row],[Age]]&lt;=35,"Early Career",IF(Table1[[#This Row],[Age]]&lt;=45,"Mid Career","Senior")))</f>
        <v>Early Career</v>
      </c>
      <c r="AK483" t="str">
        <f>IF(Table1[[#This Row],[MonthlyIncome]]&lt;3000,"Low",IF(Table1[[#This Row],[MonthlyIncome]]&lt;7000,"Medium","High"))</f>
        <v>Medium</v>
      </c>
      <c r="AL48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84" spans="1:38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tr">
        <f>IF(Table1[[#This Row],[Age]]&lt;=25,"Young",IF(Table1[[#This Row],[Age]]&lt;=35,"Early Career",IF(Table1[[#This Row],[Age]]&lt;=45,"Mid Career","Senior")))</f>
        <v>Early Career</v>
      </c>
      <c r="AK484" t="str">
        <f>IF(Table1[[#This Row],[MonthlyIncome]]&lt;3000,"Low",IF(Table1[[#This Row],[MonthlyIncome]]&lt;7000,"Medium","High"))</f>
        <v>Medium</v>
      </c>
      <c r="AL48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485" spans="1:38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tr">
        <f>IF(Table1[[#This Row],[Age]]&lt;=25,"Young",IF(Table1[[#This Row],[Age]]&lt;=35,"Early Career",IF(Table1[[#This Row],[Age]]&lt;=45,"Mid Career","Senior")))</f>
        <v>Early Career</v>
      </c>
      <c r="AK485" t="str">
        <f>IF(Table1[[#This Row],[MonthlyIncome]]&lt;3000,"Low",IF(Table1[[#This Row],[MonthlyIncome]]&lt;7000,"Medium","High"))</f>
        <v>Medium</v>
      </c>
      <c r="AL48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486" spans="1:38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tr">
        <f>IF(Table1[[#This Row],[Age]]&lt;=25,"Young",IF(Table1[[#This Row],[Age]]&lt;=35,"Early Career",IF(Table1[[#This Row],[Age]]&lt;=45,"Mid Career","Senior")))</f>
        <v>Early Career</v>
      </c>
      <c r="AK486" t="str">
        <f>IF(Table1[[#This Row],[MonthlyIncome]]&lt;3000,"Low",IF(Table1[[#This Row],[MonthlyIncome]]&lt;7000,"Medium","High"))</f>
        <v>Medium</v>
      </c>
      <c r="AL48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87" spans="1:38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tr">
        <f>IF(Table1[[#This Row],[Age]]&lt;=25,"Young",IF(Table1[[#This Row],[Age]]&lt;=35,"Early Career",IF(Table1[[#This Row],[Age]]&lt;=45,"Mid Career","Senior")))</f>
        <v>Early Career</v>
      </c>
      <c r="AK487" t="str">
        <f>IF(Table1[[#This Row],[MonthlyIncome]]&lt;3000,"Low",IF(Table1[[#This Row],[MonthlyIncome]]&lt;7000,"Medium","High"))</f>
        <v>Low</v>
      </c>
      <c r="AL48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488" spans="1:38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tr">
        <f>IF(Table1[[#This Row],[Age]]&lt;=25,"Young",IF(Table1[[#This Row],[Age]]&lt;=35,"Early Career",IF(Table1[[#This Row],[Age]]&lt;=45,"Mid Career","Senior")))</f>
        <v>Mid Career</v>
      </c>
      <c r="AK488" t="str">
        <f>IF(Table1[[#This Row],[MonthlyIncome]]&lt;3000,"Low",IF(Table1[[#This Row],[MonthlyIncome]]&lt;7000,"Medium","High"))</f>
        <v>High</v>
      </c>
      <c r="AL48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489" spans="1:38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tr">
        <f>IF(Table1[[#This Row],[Age]]&lt;=25,"Young",IF(Table1[[#This Row],[Age]]&lt;=35,"Early Career",IF(Table1[[#This Row],[Age]]&lt;=45,"Mid Career","Senior")))</f>
        <v>Young</v>
      </c>
      <c r="AK489" t="str">
        <f>IF(Table1[[#This Row],[MonthlyIncome]]&lt;3000,"Low",IF(Table1[[#This Row],[MonthlyIncome]]&lt;7000,"Medium","High"))</f>
        <v>Low</v>
      </c>
      <c r="AL48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490" spans="1:38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tr">
        <f>IF(Table1[[#This Row],[Age]]&lt;=25,"Young",IF(Table1[[#This Row],[Age]]&lt;=35,"Early Career",IF(Table1[[#This Row],[Age]]&lt;=45,"Mid Career","Senior")))</f>
        <v>Mid Career</v>
      </c>
      <c r="AK490" t="str">
        <f>IF(Table1[[#This Row],[MonthlyIncome]]&lt;3000,"Low",IF(Table1[[#This Row],[MonthlyIncome]]&lt;7000,"Medium","High"))</f>
        <v>Medium</v>
      </c>
      <c r="AL49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91" spans="1:38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tr">
        <f>IF(Table1[[#This Row],[Age]]&lt;=25,"Young",IF(Table1[[#This Row],[Age]]&lt;=35,"Early Career",IF(Table1[[#This Row],[Age]]&lt;=45,"Mid Career","Senior")))</f>
        <v>Mid Career</v>
      </c>
      <c r="AK491" t="str">
        <f>IF(Table1[[#This Row],[MonthlyIncome]]&lt;3000,"Low",IF(Table1[[#This Row],[MonthlyIncome]]&lt;7000,"Medium","High"))</f>
        <v>High</v>
      </c>
      <c r="AL49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492" spans="1:38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tr">
        <f>IF(Table1[[#This Row],[Age]]&lt;=25,"Young",IF(Table1[[#This Row],[Age]]&lt;=35,"Early Career",IF(Table1[[#This Row],[Age]]&lt;=45,"Mid Career","Senior")))</f>
        <v>Mid Career</v>
      </c>
      <c r="AK492" t="str">
        <f>IF(Table1[[#This Row],[MonthlyIncome]]&lt;3000,"Low",IF(Table1[[#This Row],[MonthlyIncome]]&lt;7000,"Medium","High"))</f>
        <v>Low</v>
      </c>
      <c r="AL49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493" spans="1:38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tr">
        <f>IF(Table1[[#This Row],[Age]]&lt;=25,"Young",IF(Table1[[#This Row],[Age]]&lt;=35,"Early Career",IF(Table1[[#This Row],[Age]]&lt;=45,"Mid Career","Senior")))</f>
        <v>Mid Career</v>
      </c>
      <c r="AK493" t="str">
        <f>IF(Table1[[#This Row],[MonthlyIncome]]&lt;3000,"Low",IF(Table1[[#This Row],[MonthlyIncome]]&lt;7000,"Medium","High"))</f>
        <v>Medium</v>
      </c>
      <c r="AL49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94" spans="1:38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tr">
        <f>IF(Table1[[#This Row],[Age]]&lt;=25,"Young",IF(Table1[[#This Row],[Age]]&lt;=35,"Early Career",IF(Table1[[#This Row],[Age]]&lt;=45,"Mid Career","Senior")))</f>
        <v>Senior</v>
      </c>
      <c r="AK494" t="str">
        <f>IF(Table1[[#This Row],[MonthlyIncome]]&lt;3000,"Low",IF(Table1[[#This Row],[MonthlyIncome]]&lt;7000,"Medium","High"))</f>
        <v>High</v>
      </c>
      <c r="AL49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495" spans="1:38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tr">
        <f>IF(Table1[[#This Row],[Age]]&lt;=25,"Young",IF(Table1[[#This Row],[Age]]&lt;=35,"Early Career",IF(Table1[[#This Row],[Age]]&lt;=45,"Mid Career","Senior")))</f>
        <v>Mid Career</v>
      </c>
      <c r="AK495" t="str">
        <f>IF(Table1[[#This Row],[MonthlyIncome]]&lt;3000,"Low",IF(Table1[[#This Row],[MonthlyIncome]]&lt;7000,"Medium","High"))</f>
        <v>Medium</v>
      </c>
      <c r="AL495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496" spans="1:38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tr">
        <f>IF(Table1[[#This Row],[Age]]&lt;=25,"Young",IF(Table1[[#This Row],[Age]]&lt;=35,"Early Career",IF(Table1[[#This Row],[Age]]&lt;=45,"Mid Career","Senior")))</f>
        <v>Early Career</v>
      </c>
      <c r="AK496" t="str">
        <f>IF(Table1[[#This Row],[MonthlyIncome]]&lt;3000,"Low",IF(Table1[[#This Row],[MonthlyIncome]]&lt;7000,"Medium","High"))</f>
        <v>Low</v>
      </c>
      <c r="AL49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497" spans="1:38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tr">
        <f>IF(Table1[[#This Row],[Age]]&lt;=25,"Young",IF(Table1[[#This Row],[Age]]&lt;=35,"Early Career",IF(Table1[[#This Row],[Age]]&lt;=45,"Mid Career","Senior")))</f>
        <v>Early Career</v>
      </c>
      <c r="AK497" t="str">
        <f>IF(Table1[[#This Row],[MonthlyIncome]]&lt;3000,"Low",IF(Table1[[#This Row],[MonthlyIncome]]&lt;7000,"Medium","High"))</f>
        <v>Medium</v>
      </c>
      <c r="AL49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498" spans="1:38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tr">
        <f>IF(Table1[[#This Row],[Age]]&lt;=25,"Young",IF(Table1[[#This Row],[Age]]&lt;=35,"Early Career",IF(Table1[[#This Row],[Age]]&lt;=45,"Mid Career","Senior")))</f>
        <v>Young</v>
      </c>
      <c r="AK498" t="str">
        <f>IF(Table1[[#This Row],[MonthlyIncome]]&lt;3000,"Low",IF(Table1[[#This Row],[MonthlyIncome]]&lt;7000,"Medium","High"))</f>
        <v>Medium</v>
      </c>
      <c r="AL49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499" spans="1:38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tr">
        <f>IF(Table1[[#This Row],[Age]]&lt;=25,"Young",IF(Table1[[#This Row],[Age]]&lt;=35,"Early Career",IF(Table1[[#This Row],[Age]]&lt;=45,"Mid Career","Senior")))</f>
        <v>Mid Career</v>
      </c>
      <c r="AK499" t="str">
        <f>IF(Table1[[#This Row],[MonthlyIncome]]&lt;3000,"Low",IF(Table1[[#This Row],[MonthlyIncome]]&lt;7000,"Medium","High"))</f>
        <v>High</v>
      </c>
      <c r="AL49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500" spans="1:38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tr">
        <f>IF(Table1[[#This Row],[Age]]&lt;=25,"Young",IF(Table1[[#This Row],[Age]]&lt;=35,"Early Career",IF(Table1[[#This Row],[Age]]&lt;=45,"Mid Career","Senior")))</f>
        <v>Young</v>
      </c>
      <c r="AK500" t="str">
        <f>IF(Table1[[#This Row],[MonthlyIncome]]&lt;3000,"Low",IF(Table1[[#This Row],[MonthlyIncome]]&lt;7000,"Medium","High"))</f>
        <v>Low</v>
      </c>
      <c r="AL50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501" spans="1:38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tr">
        <f>IF(Table1[[#This Row],[Age]]&lt;=25,"Young",IF(Table1[[#This Row],[Age]]&lt;=35,"Early Career",IF(Table1[[#This Row],[Age]]&lt;=45,"Mid Career","Senior")))</f>
        <v>Early Career</v>
      </c>
      <c r="AK501" t="str">
        <f>IF(Table1[[#This Row],[MonthlyIncome]]&lt;3000,"Low",IF(Table1[[#This Row],[MonthlyIncome]]&lt;7000,"Medium","High"))</f>
        <v>High</v>
      </c>
      <c r="AL50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502" spans="1:38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tr">
        <f>IF(Table1[[#This Row],[Age]]&lt;=25,"Young",IF(Table1[[#This Row],[Age]]&lt;=35,"Early Career",IF(Table1[[#This Row],[Age]]&lt;=45,"Mid Career","Senior")))</f>
        <v>Early Career</v>
      </c>
      <c r="AK502" t="str">
        <f>IF(Table1[[#This Row],[MonthlyIncome]]&lt;3000,"Low",IF(Table1[[#This Row],[MonthlyIncome]]&lt;7000,"Medium","High"))</f>
        <v>Medium</v>
      </c>
      <c r="AL50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03" spans="1:38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tr">
        <f>IF(Table1[[#This Row],[Age]]&lt;=25,"Young",IF(Table1[[#This Row],[Age]]&lt;=35,"Early Career",IF(Table1[[#This Row],[Age]]&lt;=45,"Mid Career","Senior")))</f>
        <v>Early Career</v>
      </c>
      <c r="AK503" t="str">
        <f>IF(Table1[[#This Row],[MonthlyIncome]]&lt;3000,"Low",IF(Table1[[#This Row],[MonthlyIncome]]&lt;7000,"Medium","High"))</f>
        <v>Low</v>
      </c>
      <c r="AL50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504" spans="1:38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tr">
        <f>IF(Table1[[#This Row],[Age]]&lt;=25,"Young",IF(Table1[[#This Row],[Age]]&lt;=35,"Early Career",IF(Table1[[#This Row],[Age]]&lt;=45,"Mid Career","Senior")))</f>
        <v>Senior</v>
      </c>
      <c r="AK504" t="str">
        <f>IF(Table1[[#This Row],[MonthlyIncome]]&lt;3000,"Low",IF(Table1[[#This Row],[MonthlyIncome]]&lt;7000,"Medium","High"))</f>
        <v>High</v>
      </c>
      <c r="AL504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505" spans="1:38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tr">
        <f>IF(Table1[[#This Row],[Age]]&lt;=25,"Young",IF(Table1[[#This Row],[Age]]&lt;=35,"Early Career",IF(Table1[[#This Row],[Age]]&lt;=45,"Mid Career","Senior")))</f>
        <v>Early Career</v>
      </c>
      <c r="AK505" t="str">
        <f>IF(Table1[[#This Row],[MonthlyIncome]]&lt;3000,"Low",IF(Table1[[#This Row],[MonthlyIncome]]&lt;7000,"Medium","High"))</f>
        <v>Low</v>
      </c>
      <c r="AL50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06" spans="1:38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tr">
        <f>IF(Table1[[#This Row],[Age]]&lt;=25,"Young",IF(Table1[[#This Row],[Age]]&lt;=35,"Early Career",IF(Table1[[#This Row],[Age]]&lt;=45,"Mid Career","Senior")))</f>
        <v>Mid Career</v>
      </c>
      <c r="AK506" t="str">
        <f>IF(Table1[[#This Row],[MonthlyIncome]]&lt;3000,"Low",IF(Table1[[#This Row],[MonthlyIncome]]&lt;7000,"Medium","High"))</f>
        <v>Medium</v>
      </c>
      <c r="AL506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507" spans="1:38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tr">
        <f>IF(Table1[[#This Row],[Age]]&lt;=25,"Young",IF(Table1[[#This Row],[Age]]&lt;=35,"Early Career",IF(Table1[[#This Row],[Age]]&lt;=45,"Mid Career","Senior")))</f>
        <v>Early Career</v>
      </c>
      <c r="AK507" t="str">
        <f>IF(Table1[[#This Row],[MonthlyIncome]]&lt;3000,"Low",IF(Table1[[#This Row],[MonthlyIncome]]&lt;7000,"Medium","High"))</f>
        <v>Low</v>
      </c>
      <c r="AL50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508" spans="1:38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tr">
        <f>IF(Table1[[#This Row],[Age]]&lt;=25,"Young",IF(Table1[[#This Row],[Age]]&lt;=35,"Early Career",IF(Table1[[#This Row],[Age]]&lt;=45,"Mid Career","Senior")))</f>
        <v>Mid Career</v>
      </c>
      <c r="AK508" t="str">
        <f>IF(Table1[[#This Row],[MonthlyIncome]]&lt;3000,"Low",IF(Table1[[#This Row],[MonthlyIncome]]&lt;7000,"Medium","High"))</f>
        <v>High</v>
      </c>
      <c r="AL50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09" spans="1:38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tr">
        <f>IF(Table1[[#This Row],[Age]]&lt;=25,"Young",IF(Table1[[#This Row],[Age]]&lt;=35,"Early Career",IF(Table1[[#This Row],[Age]]&lt;=45,"Mid Career","Senior")))</f>
        <v>Early Career</v>
      </c>
      <c r="AK509" t="str">
        <f>IF(Table1[[#This Row],[MonthlyIncome]]&lt;3000,"Low",IF(Table1[[#This Row],[MonthlyIncome]]&lt;7000,"Medium","High"))</f>
        <v>Medium</v>
      </c>
      <c r="AL509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10" spans="1:38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tr">
        <f>IF(Table1[[#This Row],[Age]]&lt;=25,"Young",IF(Table1[[#This Row],[Age]]&lt;=35,"Early Career",IF(Table1[[#This Row],[Age]]&lt;=45,"Mid Career","Senior")))</f>
        <v>Early Career</v>
      </c>
      <c r="AK510" t="str">
        <f>IF(Table1[[#This Row],[MonthlyIncome]]&lt;3000,"Low",IF(Table1[[#This Row],[MonthlyIncome]]&lt;7000,"Medium","High"))</f>
        <v>Medium</v>
      </c>
      <c r="AL510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511" spans="1:38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tr">
        <f>IF(Table1[[#This Row],[Age]]&lt;=25,"Young",IF(Table1[[#This Row],[Age]]&lt;=35,"Early Career",IF(Table1[[#This Row],[Age]]&lt;=45,"Mid Career","Senior")))</f>
        <v>Early Career</v>
      </c>
      <c r="AK511" t="str">
        <f>IF(Table1[[#This Row],[MonthlyIncome]]&lt;3000,"Low",IF(Table1[[#This Row],[MonthlyIncome]]&lt;7000,"Medium","High"))</f>
        <v>High</v>
      </c>
      <c r="AL511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512" spans="1:38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tr">
        <f>IF(Table1[[#This Row],[Age]]&lt;=25,"Young",IF(Table1[[#This Row],[Age]]&lt;=35,"Early Career",IF(Table1[[#This Row],[Age]]&lt;=45,"Mid Career","Senior")))</f>
        <v>Senior</v>
      </c>
      <c r="AK512" t="str">
        <f>IF(Table1[[#This Row],[MonthlyIncome]]&lt;3000,"Low",IF(Table1[[#This Row],[MonthlyIncome]]&lt;7000,"Medium","High"))</f>
        <v>High</v>
      </c>
      <c r="AL51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13" spans="1:38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tr">
        <f>IF(Table1[[#This Row],[Age]]&lt;=25,"Young",IF(Table1[[#This Row],[Age]]&lt;=35,"Early Career",IF(Table1[[#This Row],[Age]]&lt;=45,"Mid Career","Senior")))</f>
        <v>Mid Career</v>
      </c>
      <c r="AK513" t="str">
        <f>IF(Table1[[#This Row],[MonthlyIncome]]&lt;3000,"Low",IF(Table1[[#This Row],[MonthlyIncome]]&lt;7000,"Medium","High"))</f>
        <v>High</v>
      </c>
      <c r="AL513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514" spans="1:38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tr">
        <f>IF(Table1[[#This Row],[Age]]&lt;=25,"Young",IF(Table1[[#This Row],[Age]]&lt;=35,"Early Career",IF(Table1[[#This Row],[Age]]&lt;=45,"Mid Career","Senior")))</f>
        <v>Early Career</v>
      </c>
      <c r="AK514" t="str">
        <f>IF(Table1[[#This Row],[MonthlyIncome]]&lt;3000,"Low",IF(Table1[[#This Row],[MonthlyIncome]]&lt;7000,"Medium","High"))</f>
        <v>Low</v>
      </c>
      <c r="AL51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515" spans="1:38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tr">
        <f>IF(Table1[[#This Row],[Age]]&lt;=25,"Young",IF(Table1[[#This Row],[Age]]&lt;=35,"Early Career",IF(Table1[[#This Row],[Age]]&lt;=45,"Mid Career","Senior")))</f>
        <v>Young</v>
      </c>
      <c r="AK515" t="str">
        <f>IF(Table1[[#This Row],[MonthlyIncome]]&lt;3000,"Low",IF(Table1[[#This Row],[MonthlyIncome]]&lt;7000,"Medium","High"))</f>
        <v>Low</v>
      </c>
      <c r="AL515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516" spans="1:38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tr">
        <f>IF(Table1[[#This Row],[Age]]&lt;=25,"Young",IF(Table1[[#This Row],[Age]]&lt;=35,"Early Career",IF(Table1[[#This Row],[Age]]&lt;=45,"Mid Career","Senior")))</f>
        <v>Early Career</v>
      </c>
      <c r="AK516" t="str">
        <f>IF(Table1[[#This Row],[MonthlyIncome]]&lt;3000,"Low",IF(Table1[[#This Row],[MonthlyIncome]]&lt;7000,"Medium","High"))</f>
        <v>Medium</v>
      </c>
      <c r="AL51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17" spans="1:38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tr">
        <f>IF(Table1[[#This Row],[Age]]&lt;=25,"Young",IF(Table1[[#This Row],[Age]]&lt;=35,"Early Career",IF(Table1[[#This Row],[Age]]&lt;=45,"Mid Career","Senior")))</f>
        <v>Early Career</v>
      </c>
      <c r="AK517" t="str">
        <f>IF(Table1[[#This Row],[MonthlyIncome]]&lt;3000,"Low",IF(Table1[[#This Row],[MonthlyIncome]]&lt;7000,"Medium","High"))</f>
        <v>Low</v>
      </c>
      <c r="AL51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518" spans="1:38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tr">
        <f>IF(Table1[[#This Row],[Age]]&lt;=25,"Young",IF(Table1[[#This Row],[Age]]&lt;=35,"Early Career",IF(Table1[[#This Row],[Age]]&lt;=45,"Mid Career","Senior")))</f>
        <v>Young</v>
      </c>
      <c r="AK518" t="str">
        <f>IF(Table1[[#This Row],[MonthlyIncome]]&lt;3000,"Low",IF(Table1[[#This Row],[MonthlyIncome]]&lt;7000,"Medium","High"))</f>
        <v>Low</v>
      </c>
      <c r="AL51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519" spans="1:38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tr">
        <f>IF(Table1[[#This Row],[Age]]&lt;=25,"Young",IF(Table1[[#This Row],[Age]]&lt;=35,"Early Career",IF(Table1[[#This Row],[Age]]&lt;=45,"Mid Career","Senior")))</f>
        <v>Young</v>
      </c>
      <c r="AK519" t="str">
        <f>IF(Table1[[#This Row],[MonthlyIncome]]&lt;3000,"Low",IF(Table1[[#This Row],[MonthlyIncome]]&lt;7000,"Medium","High"))</f>
        <v>Medium</v>
      </c>
      <c r="AL51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520" spans="1:38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tr">
        <f>IF(Table1[[#This Row],[Age]]&lt;=25,"Young",IF(Table1[[#This Row],[Age]]&lt;=35,"Early Career",IF(Table1[[#This Row],[Age]]&lt;=45,"Mid Career","Senior")))</f>
        <v>Mid Career</v>
      </c>
      <c r="AK520" t="str">
        <f>IF(Table1[[#This Row],[MonthlyIncome]]&lt;3000,"Low",IF(Table1[[#This Row],[MonthlyIncome]]&lt;7000,"Medium","High"))</f>
        <v>Medium</v>
      </c>
      <c r="AL52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21" spans="1:38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tr">
        <f>IF(Table1[[#This Row],[Age]]&lt;=25,"Young",IF(Table1[[#This Row],[Age]]&lt;=35,"Early Career",IF(Table1[[#This Row],[Age]]&lt;=45,"Mid Career","Senior")))</f>
        <v>Early Career</v>
      </c>
      <c r="AK521" t="str">
        <f>IF(Table1[[#This Row],[MonthlyIncome]]&lt;3000,"Low",IF(Table1[[#This Row],[MonthlyIncome]]&lt;7000,"Medium","High"))</f>
        <v>Low</v>
      </c>
      <c r="AL52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22" spans="1:38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tr">
        <f>IF(Table1[[#This Row],[Age]]&lt;=25,"Young",IF(Table1[[#This Row],[Age]]&lt;=35,"Early Career",IF(Table1[[#This Row],[Age]]&lt;=45,"Mid Career","Senior")))</f>
        <v>Senior</v>
      </c>
      <c r="AK522" t="str">
        <f>IF(Table1[[#This Row],[MonthlyIncome]]&lt;3000,"Low",IF(Table1[[#This Row],[MonthlyIncome]]&lt;7000,"Medium","High"))</f>
        <v>High</v>
      </c>
      <c r="AL52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523" spans="1:38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tr">
        <f>IF(Table1[[#This Row],[Age]]&lt;=25,"Young",IF(Table1[[#This Row],[Age]]&lt;=35,"Early Career",IF(Table1[[#This Row],[Age]]&lt;=45,"Mid Career","Senior")))</f>
        <v>Early Career</v>
      </c>
      <c r="AK523" t="str">
        <f>IF(Table1[[#This Row],[MonthlyIncome]]&lt;3000,"Low",IF(Table1[[#This Row],[MonthlyIncome]]&lt;7000,"Medium","High"))</f>
        <v>Medium</v>
      </c>
      <c r="AL52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24" spans="1:38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tr">
        <f>IF(Table1[[#This Row],[Age]]&lt;=25,"Young",IF(Table1[[#This Row],[Age]]&lt;=35,"Early Career",IF(Table1[[#This Row],[Age]]&lt;=45,"Mid Career","Senior")))</f>
        <v>Mid Career</v>
      </c>
      <c r="AK524" t="str">
        <f>IF(Table1[[#This Row],[MonthlyIncome]]&lt;3000,"Low",IF(Table1[[#This Row],[MonthlyIncome]]&lt;7000,"Medium","High"))</f>
        <v>Medium</v>
      </c>
      <c r="AL52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525" spans="1:38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tr">
        <f>IF(Table1[[#This Row],[Age]]&lt;=25,"Young",IF(Table1[[#This Row],[Age]]&lt;=35,"Early Career",IF(Table1[[#This Row],[Age]]&lt;=45,"Mid Career","Senior")))</f>
        <v>Senior</v>
      </c>
      <c r="AK525" t="str">
        <f>IF(Table1[[#This Row],[MonthlyIncome]]&lt;3000,"Low",IF(Table1[[#This Row],[MonthlyIncome]]&lt;7000,"Medium","High"))</f>
        <v>Medium</v>
      </c>
      <c r="AL525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526" spans="1:38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tr">
        <f>IF(Table1[[#This Row],[Age]]&lt;=25,"Young",IF(Table1[[#This Row],[Age]]&lt;=35,"Early Career",IF(Table1[[#This Row],[Age]]&lt;=45,"Mid Career","Senior")))</f>
        <v>Early Career</v>
      </c>
      <c r="AK526" t="str">
        <f>IF(Table1[[#This Row],[MonthlyIncome]]&lt;3000,"Low",IF(Table1[[#This Row],[MonthlyIncome]]&lt;7000,"Medium","High"))</f>
        <v>High</v>
      </c>
      <c r="AL52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27" spans="1:38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tr">
        <f>IF(Table1[[#This Row],[Age]]&lt;=25,"Young",IF(Table1[[#This Row],[Age]]&lt;=35,"Early Career",IF(Table1[[#This Row],[Age]]&lt;=45,"Mid Career","Senior")))</f>
        <v>Young</v>
      </c>
      <c r="AK527" t="str">
        <f>IF(Table1[[#This Row],[MonthlyIncome]]&lt;3000,"Low",IF(Table1[[#This Row],[MonthlyIncome]]&lt;7000,"Medium","High"))</f>
        <v>Medium</v>
      </c>
      <c r="AL52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528" spans="1:38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tr">
        <f>IF(Table1[[#This Row],[Age]]&lt;=25,"Young",IF(Table1[[#This Row],[Age]]&lt;=35,"Early Career",IF(Table1[[#This Row],[Age]]&lt;=45,"Mid Career","Senior")))</f>
        <v>Mid Career</v>
      </c>
      <c r="AK528" t="str">
        <f>IF(Table1[[#This Row],[MonthlyIncome]]&lt;3000,"Low",IF(Table1[[#This Row],[MonthlyIncome]]&lt;7000,"Medium","High"))</f>
        <v>Medium</v>
      </c>
      <c r="AL528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529" spans="1:38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tr">
        <f>IF(Table1[[#This Row],[Age]]&lt;=25,"Young",IF(Table1[[#This Row],[Age]]&lt;=35,"Early Career",IF(Table1[[#This Row],[Age]]&lt;=45,"Mid Career","Senior")))</f>
        <v>Early Career</v>
      </c>
      <c r="AK529" t="str">
        <f>IF(Table1[[#This Row],[MonthlyIncome]]&lt;3000,"Low",IF(Table1[[#This Row],[MonthlyIncome]]&lt;7000,"Medium","High"))</f>
        <v>Medium</v>
      </c>
      <c r="AL529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30" spans="1:38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tr">
        <f>IF(Table1[[#This Row],[Age]]&lt;=25,"Young",IF(Table1[[#This Row],[Age]]&lt;=35,"Early Career",IF(Table1[[#This Row],[Age]]&lt;=45,"Mid Career","Senior")))</f>
        <v>Senior</v>
      </c>
      <c r="AK530" t="str">
        <f>IF(Table1[[#This Row],[MonthlyIncome]]&lt;3000,"Low",IF(Table1[[#This Row],[MonthlyIncome]]&lt;7000,"Medium","High"))</f>
        <v>Medium</v>
      </c>
      <c r="AL53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531" spans="1:38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tr">
        <f>IF(Table1[[#This Row],[Age]]&lt;=25,"Young",IF(Table1[[#This Row],[Age]]&lt;=35,"Early Career",IF(Table1[[#This Row],[Age]]&lt;=45,"Mid Career","Senior")))</f>
        <v>Mid Career</v>
      </c>
      <c r="AK531" t="str">
        <f>IF(Table1[[#This Row],[MonthlyIncome]]&lt;3000,"Low",IF(Table1[[#This Row],[MonthlyIncome]]&lt;7000,"Medium","High"))</f>
        <v>High</v>
      </c>
      <c r="AL53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32" spans="1:38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tr">
        <f>IF(Table1[[#This Row],[Age]]&lt;=25,"Young",IF(Table1[[#This Row],[Age]]&lt;=35,"Early Career",IF(Table1[[#This Row],[Age]]&lt;=45,"Mid Career","Senior")))</f>
        <v>Early Career</v>
      </c>
      <c r="AK532" t="str">
        <f>IF(Table1[[#This Row],[MonthlyIncome]]&lt;3000,"Low",IF(Table1[[#This Row],[MonthlyIncome]]&lt;7000,"Medium","High"))</f>
        <v>High</v>
      </c>
      <c r="AL53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33" spans="1:38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tr">
        <f>IF(Table1[[#This Row],[Age]]&lt;=25,"Young",IF(Table1[[#This Row],[Age]]&lt;=35,"Early Career",IF(Table1[[#This Row],[Age]]&lt;=45,"Mid Career","Senior")))</f>
        <v>Early Career</v>
      </c>
      <c r="AK533" t="str">
        <f>IF(Table1[[#This Row],[MonthlyIncome]]&lt;3000,"Low",IF(Table1[[#This Row],[MonthlyIncome]]&lt;7000,"Medium","High"))</f>
        <v>High</v>
      </c>
      <c r="AL53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34" spans="1:38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tr">
        <f>IF(Table1[[#This Row],[Age]]&lt;=25,"Young",IF(Table1[[#This Row],[Age]]&lt;=35,"Early Career",IF(Table1[[#This Row],[Age]]&lt;=45,"Mid Career","Senior")))</f>
        <v>Senior</v>
      </c>
      <c r="AK534" t="str">
        <f>IF(Table1[[#This Row],[MonthlyIncome]]&lt;3000,"Low",IF(Table1[[#This Row],[MonthlyIncome]]&lt;7000,"Medium","High"))</f>
        <v>Medium</v>
      </c>
      <c r="AL53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35" spans="1:38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tr">
        <f>IF(Table1[[#This Row],[Age]]&lt;=25,"Young",IF(Table1[[#This Row],[Age]]&lt;=35,"Early Career",IF(Table1[[#This Row],[Age]]&lt;=45,"Mid Career","Senior")))</f>
        <v>Mid Career</v>
      </c>
      <c r="AK535" t="str">
        <f>IF(Table1[[#This Row],[MonthlyIncome]]&lt;3000,"Low",IF(Table1[[#This Row],[MonthlyIncome]]&lt;7000,"Medium","High"))</f>
        <v>High</v>
      </c>
      <c r="AL535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536" spans="1:38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tr">
        <f>IF(Table1[[#This Row],[Age]]&lt;=25,"Young",IF(Table1[[#This Row],[Age]]&lt;=35,"Early Career",IF(Table1[[#This Row],[Age]]&lt;=45,"Mid Career","Senior")))</f>
        <v>Senior</v>
      </c>
      <c r="AK536" t="str">
        <f>IF(Table1[[#This Row],[MonthlyIncome]]&lt;3000,"Low",IF(Table1[[#This Row],[MonthlyIncome]]&lt;7000,"Medium","High"))</f>
        <v>High</v>
      </c>
      <c r="AL53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537" spans="1:38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tr">
        <f>IF(Table1[[#This Row],[Age]]&lt;=25,"Young",IF(Table1[[#This Row],[Age]]&lt;=35,"Early Career",IF(Table1[[#This Row],[Age]]&lt;=45,"Mid Career","Senior")))</f>
        <v>Mid Career</v>
      </c>
      <c r="AK537" t="str">
        <f>IF(Table1[[#This Row],[MonthlyIncome]]&lt;3000,"Low",IF(Table1[[#This Row],[MonthlyIncome]]&lt;7000,"Medium","High"))</f>
        <v>High</v>
      </c>
      <c r="AL537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538" spans="1:38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tr">
        <f>IF(Table1[[#This Row],[Age]]&lt;=25,"Young",IF(Table1[[#This Row],[Age]]&lt;=35,"Early Career",IF(Table1[[#This Row],[Age]]&lt;=45,"Mid Career","Senior")))</f>
        <v>Senior</v>
      </c>
      <c r="AK538" t="str">
        <f>IF(Table1[[#This Row],[MonthlyIncome]]&lt;3000,"Low",IF(Table1[[#This Row],[MonthlyIncome]]&lt;7000,"Medium","High"))</f>
        <v>Medium</v>
      </c>
      <c r="AL53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539" spans="1:38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tr">
        <f>IF(Table1[[#This Row],[Age]]&lt;=25,"Young",IF(Table1[[#This Row],[Age]]&lt;=35,"Early Career",IF(Table1[[#This Row],[Age]]&lt;=45,"Mid Career","Senior")))</f>
        <v>Early Career</v>
      </c>
      <c r="AK539" t="str">
        <f>IF(Table1[[#This Row],[MonthlyIncome]]&lt;3000,"Low",IF(Table1[[#This Row],[MonthlyIncome]]&lt;7000,"Medium","High"))</f>
        <v>High</v>
      </c>
      <c r="AL539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40" spans="1:38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tr">
        <f>IF(Table1[[#This Row],[Age]]&lt;=25,"Young",IF(Table1[[#This Row],[Age]]&lt;=35,"Early Career",IF(Table1[[#This Row],[Age]]&lt;=45,"Mid Career","Senior")))</f>
        <v>Mid Career</v>
      </c>
      <c r="AK540" t="str">
        <f>IF(Table1[[#This Row],[MonthlyIncome]]&lt;3000,"Low",IF(Table1[[#This Row],[MonthlyIncome]]&lt;7000,"Medium","High"))</f>
        <v>High</v>
      </c>
      <c r="AL540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541" spans="1:38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tr">
        <f>IF(Table1[[#This Row],[Age]]&lt;=25,"Young",IF(Table1[[#This Row],[Age]]&lt;=35,"Early Career",IF(Table1[[#This Row],[Age]]&lt;=45,"Mid Career","Senior")))</f>
        <v>Senior</v>
      </c>
      <c r="AK541" t="str">
        <f>IF(Table1[[#This Row],[MonthlyIncome]]&lt;3000,"Low",IF(Table1[[#This Row],[MonthlyIncome]]&lt;7000,"Medium","High"))</f>
        <v>Medium</v>
      </c>
      <c r="AL54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542" spans="1:38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tr">
        <f>IF(Table1[[#This Row],[Age]]&lt;=25,"Young",IF(Table1[[#This Row],[Age]]&lt;=35,"Early Career",IF(Table1[[#This Row],[Age]]&lt;=45,"Mid Career","Senior")))</f>
        <v>Early Career</v>
      </c>
      <c r="AK542" t="str">
        <f>IF(Table1[[#This Row],[MonthlyIncome]]&lt;3000,"Low",IF(Table1[[#This Row],[MonthlyIncome]]&lt;7000,"Medium","High"))</f>
        <v>Low</v>
      </c>
      <c r="AL54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43" spans="1:38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tr">
        <f>IF(Table1[[#This Row],[Age]]&lt;=25,"Young",IF(Table1[[#This Row],[Age]]&lt;=35,"Early Career",IF(Table1[[#This Row],[Age]]&lt;=45,"Mid Career","Senior")))</f>
        <v>Mid Career</v>
      </c>
      <c r="AK543" t="str">
        <f>IF(Table1[[#This Row],[MonthlyIncome]]&lt;3000,"Low",IF(Table1[[#This Row],[MonthlyIncome]]&lt;7000,"Medium","High"))</f>
        <v>High</v>
      </c>
      <c r="AL54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44" spans="1:38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tr">
        <f>IF(Table1[[#This Row],[Age]]&lt;=25,"Young",IF(Table1[[#This Row],[Age]]&lt;=35,"Early Career",IF(Table1[[#This Row],[Age]]&lt;=45,"Mid Career","Senior")))</f>
        <v>Mid Career</v>
      </c>
      <c r="AK544" t="str">
        <f>IF(Table1[[#This Row],[MonthlyIncome]]&lt;3000,"Low",IF(Table1[[#This Row],[MonthlyIncome]]&lt;7000,"Medium","High"))</f>
        <v>High</v>
      </c>
      <c r="AL54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545" spans="1:38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tr">
        <f>IF(Table1[[#This Row],[Age]]&lt;=25,"Young",IF(Table1[[#This Row],[Age]]&lt;=35,"Early Career",IF(Table1[[#This Row],[Age]]&lt;=45,"Mid Career","Senior")))</f>
        <v>Mid Career</v>
      </c>
      <c r="AK545" t="str">
        <f>IF(Table1[[#This Row],[MonthlyIncome]]&lt;3000,"Low",IF(Table1[[#This Row],[MonthlyIncome]]&lt;7000,"Medium","High"))</f>
        <v>Medium</v>
      </c>
      <c r="AL54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546" spans="1:38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tr">
        <f>IF(Table1[[#This Row],[Age]]&lt;=25,"Young",IF(Table1[[#This Row],[Age]]&lt;=35,"Early Career",IF(Table1[[#This Row],[Age]]&lt;=45,"Mid Career","Senior")))</f>
        <v>Senior</v>
      </c>
      <c r="AK546" t="str">
        <f>IF(Table1[[#This Row],[MonthlyIncome]]&lt;3000,"Low",IF(Table1[[#This Row],[MonthlyIncome]]&lt;7000,"Medium","High"))</f>
        <v>High</v>
      </c>
      <c r="AL546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547" spans="1:38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tr">
        <f>IF(Table1[[#This Row],[Age]]&lt;=25,"Young",IF(Table1[[#This Row],[Age]]&lt;=35,"Early Career",IF(Table1[[#This Row],[Age]]&lt;=45,"Mid Career","Senior")))</f>
        <v>Early Career</v>
      </c>
      <c r="AK547" t="str">
        <f>IF(Table1[[#This Row],[MonthlyIncome]]&lt;3000,"Low",IF(Table1[[#This Row],[MonthlyIncome]]&lt;7000,"Medium","High"))</f>
        <v>Medium</v>
      </c>
      <c r="AL54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48" spans="1:38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tr">
        <f>IF(Table1[[#This Row],[Age]]&lt;=25,"Young",IF(Table1[[#This Row],[Age]]&lt;=35,"Early Career",IF(Table1[[#This Row],[Age]]&lt;=45,"Mid Career","Senior")))</f>
        <v>Early Career</v>
      </c>
      <c r="AK548" t="str">
        <f>IF(Table1[[#This Row],[MonthlyIncome]]&lt;3000,"Low",IF(Table1[[#This Row],[MonthlyIncome]]&lt;7000,"Medium","High"))</f>
        <v>Low</v>
      </c>
      <c r="AL54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549" spans="1:38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tr">
        <f>IF(Table1[[#This Row],[Age]]&lt;=25,"Young",IF(Table1[[#This Row],[Age]]&lt;=35,"Early Career",IF(Table1[[#This Row],[Age]]&lt;=45,"Mid Career","Senior")))</f>
        <v>Mid Career</v>
      </c>
      <c r="AK549" t="str">
        <f>IF(Table1[[#This Row],[MonthlyIncome]]&lt;3000,"Low",IF(Table1[[#This Row],[MonthlyIncome]]&lt;7000,"Medium","High"))</f>
        <v>Low</v>
      </c>
      <c r="AL54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550" spans="1:38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tr">
        <f>IF(Table1[[#This Row],[Age]]&lt;=25,"Young",IF(Table1[[#This Row],[Age]]&lt;=35,"Early Career",IF(Table1[[#This Row],[Age]]&lt;=45,"Mid Career","Senior")))</f>
        <v>Mid Career</v>
      </c>
      <c r="AK550" t="str">
        <f>IF(Table1[[#This Row],[MonthlyIncome]]&lt;3000,"Low",IF(Table1[[#This Row],[MonthlyIncome]]&lt;7000,"Medium","High"))</f>
        <v>Medium</v>
      </c>
      <c r="AL55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551" spans="1:38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tr">
        <f>IF(Table1[[#This Row],[Age]]&lt;=25,"Young",IF(Table1[[#This Row],[Age]]&lt;=35,"Early Career",IF(Table1[[#This Row],[Age]]&lt;=45,"Mid Career","Senior")))</f>
        <v>Early Career</v>
      </c>
      <c r="AK551" t="str">
        <f>IF(Table1[[#This Row],[MonthlyIncome]]&lt;3000,"Low",IF(Table1[[#This Row],[MonthlyIncome]]&lt;7000,"Medium","High"))</f>
        <v>Medium</v>
      </c>
      <c r="AL55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552" spans="1:38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tr">
        <f>IF(Table1[[#This Row],[Age]]&lt;=25,"Young",IF(Table1[[#This Row],[Age]]&lt;=35,"Early Career",IF(Table1[[#This Row],[Age]]&lt;=45,"Mid Career","Senior")))</f>
        <v>Young</v>
      </c>
      <c r="AK552" t="str">
        <f>IF(Table1[[#This Row],[MonthlyIncome]]&lt;3000,"Low",IF(Table1[[#This Row],[MonthlyIncome]]&lt;7000,"Medium","High"))</f>
        <v>Low</v>
      </c>
      <c r="AL55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553" spans="1:38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tr">
        <f>IF(Table1[[#This Row],[Age]]&lt;=25,"Young",IF(Table1[[#This Row],[Age]]&lt;=35,"Early Career",IF(Table1[[#This Row],[Age]]&lt;=45,"Mid Career","Senior")))</f>
        <v>Mid Career</v>
      </c>
      <c r="AK553" t="str">
        <f>IF(Table1[[#This Row],[MonthlyIncome]]&lt;3000,"Low",IF(Table1[[#This Row],[MonthlyIncome]]&lt;7000,"Medium","High"))</f>
        <v>Medium</v>
      </c>
      <c r="AL55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54" spans="1:38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tr">
        <f>IF(Table1[[#This Row],[Age]]&lt;=25,"Young",IF(Table1[[#This Row],[Age]]&lt;=35,"Early Career",IF(Table1[[#This Row],[Age]]&lt;=45,"Mid Career","Senior")))</f>
        <v>Senior</v>
      </c>
      <c r="AK554" t="str">
        <f>IF(Table1[[#This Row],[MonthlyIncome]]&lt;3000,"Low",IF(Table1[[#This Row],[MonthlyIncome]]&lt;7000,"Medium","High"))</f>
        <v>High</v>
      </c>
      <c r="AL55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55" spans="1:38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tr">
        <f>IF(Table1[[#This Row],[Age]]&lt;=25,"Young",IF(Table1[[#This Row],[Age]]&lt;=35,"Early Career",IF(Table1[[#This Row],[Age]]&lt;=45,"Mid Career","Senior")))</f>
        <v>Mid Career</v>
      </c>
      <c r="AK555" t="str">
        <f>IF(Table1[[#This Row],[MonthlyIncome]]&lt;3000,"Low",IF(Table1[[#This Row],[MonthlyIncome]]&lt;7000,"Medium","High"))</f>
        <v>Low</v>
      </c>
      <c r="AL55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556" spans="1:38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tr">
        <f>IF(Table1[[#This Row],[Age]]&lt;=25,"Young",IF(Table1[[#This Row],[Age]]&lt;=35,"Early Career",IF(Table1[[#This Row],[Age]]&lt;=45,"Mid Career","Senior")))</f>
        <v>Early Career</v>
      </c>
      <c r="AK556" t="str">
        <f>IF(Table1[[#This Row],[MonthlyIncome]]&lt;3000,"Low",IF(Table1[[#This Row],[MonthlyIncome]]&lt;7000,"Medium","High"))</f>
        <v>Medium</v>
      </c>
      <c r="AL55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57" spans="1:38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tr">
        <f>IF(Table1[[#This Row],[Age]]&lt;=25,"Young",IF(Table1[[#This Row],[Age]]&lt;=35,"Early Career",IF(Table1[[#This Row],[Age]]&lt;=45,"Mid Career","Senior")))</f>
        <v>Early Career</v>
      </c>
      <c r="AK557" t="str">
        <f>IF(Table1[[#This Row],[MonthlyIncome]]&lt;3000,"Low",IF(Table1[[#This Row],[MonthlyIncome]]&lt;7000,"Medium","High"))</f>
        <v>Low</v>
      </c>
      <c r="AL55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558" spans="1:38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tr">
        <f>IF(Table1[[#This Row],[Age]]&lt;=25,"Young",IF(Table1[[#This Row],[Age]]&lt;=35,"Early Career",IF(Table1[[#This Row],[Age]]&lt;=45,"Mid Career","Senior")))</f>
        <v>Senior</v>
      </c>
      <c r="AK558" t="str">
        <f>IF(Table1[[#This Row],[MonthlyIncome]]&lt;3000,"Low",IF(Table1[[#This Row],[MonthlyIncome]]&lt;7000,"Medium","High"))</f>
        <v>Low</v>
      </c>
      <c r="AL55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559" spans="1:38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tr">
        <f>IF(Table1[[#This Row],[Age]]&lt;=25,"Young",IF(Table1[[#This Row],[Age]]&lt;=35,"Early Career",IF(Table1[[#This Row],[Age]]&lt;=45,"Mid Career","Senior")))</f>
        <v>Early Career</v>
      </c>
      <c r="AK559" t="str">
        <f>IF(Table1[[#This Row],[MonthlyIncome]]&lt;3000,"Low",IF(Table1[[#This Row],[MonthlyIncome]]&lt;7000,"Medium","High"))</f>
        <v>Medium</v>
      </c>
      <c r="AL55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560" spans="1:38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tr">
        <f>IF(Table1[[#This Row],[Age]]&lt;=25,"Young",IF(Table1[[#This Row],[Age]]&lt;=35,"Early Career",IF(Table1[[#This Row],[Age]]&lt;=45,"Mid Career","Senior")))</f>
        <v>Early Career</v>
      </c>
      <c r="AK560" t="str">
        <f>IF(Table1[[#This Row],[MonthlyIncome]]&lt;3000,"Low",IF(Table1[[#This Row],[MonthlyIncome]]&lt;7000,"Medium","High"))</f>
        <v>Medium</v>
      </c>
      <c r="AL56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61" spans="1:38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tr">
        <f>IF(Table1[[#This Row],[Age]]&lt;=25,"Young",IF(Table1[[#This Row],[Age]]&lt;=35,"Early Career",IF(Table1[[#This Row],[Age]]&lt;=45,"Mid Career","Senior")))</f>
        <v>Mid Career</v>
      </c>
      <c r="AK561" t="str">
        <f>IF(Table1[[#This Row],[MonthlyIncome]]&lt;3000,"Low",IF(Table1[[#This Row],[MonthlyIncome]]&lt;7000,"Medium","High"))</f>
        <v>Medium</v>
      </c>
      <c r="AL56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562" spans="1:38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tr">
        <f>IF(Table1[[#This Row],[Age]]&lt;=25,"Young",IF(Table1[[#This Row],[Age]]&lt;=35,"Early Career",IF(Table1[[#This Row],[Age]]&lt;=45,"Mid Career","Senior")))</f>
        <v>Early Career</v>
      </c>
      <c r="AK562" t="str">
        <f>IF(Table1[[#This Row],[MonthlyIncome]]&lt;3000,"Low",IF(Table1[[#This Row],[MonthlyIncome]]&lt;7000,"Medium","High"))</f>
        <v>Medium</v>
      </c>
      <c r="AL56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563" spans="1:38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tr">
        <f>IF(Table1[[#This Row],[Age]]&lt;=25,"Young",IF(Table1[[#This Row],[Age]]&lt;=35,"Early Career",IF(Table1[[#This Row],[Age]]&lt;=45,"Mid Career","Senior")))</f>
        <v>Senior</v>
      </c>
      <c r="AK563" t="str">
        <f>IF(Table1[[#This Row],[MonthlyIncome]]&lt;3000,"Low",IF(Table1[[#This Row],[MonthlyIncome]]&lt;7000,"Medium","High"))</f>
        <v>High</v>
      </c>
      <c r="AL563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564" spans="1:38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tr">
        <f>IF(Table1[[#This Row],[Age]]&lt;=25,"Young",IF(Table1[[#This Row],[Age]]&lt;=35,"Early Career",IF(Table1[[#This Row],[Age]]&lt;=45,"Mid Career","Senior")))</f>
        <v>Early Career</v>
      </c>
      <c r="AK564" t="str">
        <f>IF(Table1[[#This Row],[MonthlyIncome]]&lt;3000,"Low",IF(Table1[[#This Row],[MonthlyIncome]]&lt;7000,"Medium","High"))</f>
        <v>Low</v>
      </c>
      <c r="AL56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65" spans="1:38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tr">
        <f>IF(Table1[[#This Row],[Age]]&lt;=25,"Young",IF(Table1[[#This Row],[Age]]&lt;=35,"Early Career",IF(Table1[[#This Row],[Age]]&lt;=45,"Mid Career","Senior")))</f>
        <v>Young</v>
      </c>
      <c r="AK565" t="str">
        <f>IF(Table1[[#This Row],[MonthlyIncome]]&lt;3000,"Low",IF(Table1[[#This Row],[MonthlyIncome]]&lt;7000,"Medium","High"))</f>
        <v>Medium</v>
      </c>
      <c r="AL56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66" spans="1:38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tr">
        <f>IF(Table1[[#This Row],[Age]]&lt;=25,"Young",IF(Table1[[#This Row],[Age]]&lt;=35,"Early Career",IF(Table1[[#This Row],[Age]]&lt;=45,"Mid Career","Senior")))</f>
        <v>Mid Career</v>
      </c>
      <c r="AK566" t="str">
        <f>IF(Table1[[#This Row],[MonthlyIncome]]&lt;3000,"Low",IF(Table1[[#This Row],[MonthlyIncome]]&lt;7000,"Medium","High"))</f>
        <v>Medium</v>
      </c>
      <c r="AL56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67" spans="1:38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tr">
        <f>IF(Table1[[#This Row],[Age]]&lt;=25,"Young",IF(Table1[[#This Row],[Age]]&lt;=35,"Early Career",IF(Table1[[#This Row],[Age]]&lt;=45,"Mid Career","Senior")))</f>
        <v>Young</v>
      </c>
      <c r="AK567" t="str">
        <f>IF(Table1[[#This Row],[MonthlyIncome]]&lt;3000,"Low",IF(Table1[[#This Row],[MonthlyIncome]]&lt;7000,"Medium","High"))</f>
        <v>Medium</v>
      </c>
      <c r="AL56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568" spans="1:38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tr">
        <f>IF(Table1[[#This Row],[Age]]&lt;=25,"Young",IF(Table1[[#This Row],[Age]]&lt;=35,"Early Career",IF(Table1[[#This Row],[Age]]&lt;=45,"Mid Career","Senior")))</f>
        <v>Senior</v>
      </c>
      <c r="AK568" t="str">
        <f>IF(Table1[[#This Row],[MonthlyIncome]]&lt;3000,"Low",IF(Table1[[#This Row],[MonthlyIncome]]&lt;7000,"Medium","High"))</f>
        <v>Medium</v>
      </c>
      <c r="AL56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569" spans="1:38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tr">
        <f>IF(Table1[[#This Row],[Age]]&lt;=25,"Young",IF(Table1[[#This Row],[Age]]&lt;=35,"Early Career",IF(Table1[[#This Row],[Age]]&lt;=45,"Mid Career","Senior")))</f>
        <v>Early Career</v>
      </c>
      <c r="AK569" t="str">
        <f>IF(Table1[[#This Row],[MonthlyIncome]]&lt;3000,"Low",IF(Table1[[#This Row],[MonthlyIncome]]&lt;7000,"Medium","High"))</f>
        <v>Medium</v>
      </c>
      <c r="AL569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70" spans="1:38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tr">
        <f>IF(Table1[[#This Row],[Age]]&lt;=25,"Young",IF(Table1[[#This Row],[Age]]&lt;=35,"Early Career",IF(Table1[[#This Row],[Age]]&lt;=45,"Mid Career","Senior")))</f>
        <v>Senior</v>
      </c>
      <c r="AK570" t="str">
        <f>IF(Table1[[#This Row],[MonthlyIncome]]&lt;3000,"Low",IF(Table1[[#This Row],[MonthlyIncome]]&lt;7000,"Medium","High"))</f>
        <v>High</v>
      </c>
      <c r="AL57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571" spans="1:38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tr">
        <f>IF(Table1[[#This Row],[Age]]&lt;=25,"Young",IF(Table1[[#This Row],[Age]]&lt;=35,"Early Career",IF(Table1[[#This Row],[Age]]&lt;=45,"Mid Career","Senior")))</f>
        <v>Mid Career</v>
      </c>
      <c r="AK571" t="str">
        <f>IF(Table1[[#This Row],[MonthlyIncome]]&lt;3000,"Low",IF(Table1[[#This Row],[MonthlyIncome]]&lt;7000,"Medium","High"))</f>
        <v>High</v>
      </c>
      <c r="AL57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72" spans="1:38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tr">
        <f>IF(Table1[[#This Row],[Age]]&lt;=25,"Young",IF(Table1[[#This Row],[Age]]&lt;=35,"Early Career",IF(Table1[[#This Row],[Age]]&lt;=45,"Mid Career","Senior")))</f>
        <v>Senior</v>
      </c>
      <c r="AK572" t="str">
        <f>IF(Table1[[#This Row],[MonthlyIncome]]&lt;3000,"Low",IF(Table1[[#This Row],[MonthlyIncome]]&lt;7000,"Medium","High"))</f>
        <v>Medium</v>
      </c>
      <c r="AL57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573" spans="1:38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tr">
        <f>IF(Table1[[#This Row],[Age]]&lt;=25,"Young",IF(Table1[[#This Row],[Age]]&lt;=35,"Early Career",IF(Table1[[#This Row],[Age]]&lt;=45,"Mid Career","Senior")))</f>
        <v>Early Career</v>
      </c>
      <c r="AK573" t="str">
        <f>IF(Table1[[#This Row],[MonthlyIncome]]&lt;3000,"Low",IF(Table1[[#This Row],[MonthlyIncome]]&lt;7000,"Medium","High"))</f>
        <v>Medium</v>
      </c>
      <c r="AL57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574" spans="1:38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tr">
        <f>IF(Table1[[#This Row],[Age]]&lt;=25,"Young",IF(Table1[[#This Row],[Age]]&lt;=35,"Early Career",IF(Table1[[#This Row],[Age]]&lt;=45,"Mid Career","Senior")))</f>
        <v>Early Career</v>
      </c>
      <c r="AK574" t="str">
        <f>IF(Table1[[#This Row],[MonthlyIncome]]&lt;3000,"Low",IF(Table1[[#This Row],[MonthlyIncome]]&lt;7000,"Medium","High"))</f>
        <v>Medium</v>
      </c>
      <c r="AL57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75" spans="1:38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tr">
        <f>IF(Table1[[#This Row],[Age]]&lt;=25,"Young",IF(Table1[[#This Row],[Age]]&lt;=35,"Early Career",IF(Table1[[#This Row],[Age]]&lt;=45,"Mid Career","Senior")))</f>
        <v>Early Career</v>
      </c>
      <c r="AK575" t="str">
        <f>IF(Table1[[#This Row],[MonthlyIncome]]&lt;3000,"Low",IF(Table1[[#This Row],[MonthlyIncome]]&lt;7000,"Medium","High"))</f>
        <v>Medium</v>
      </c>
      <c r="AL57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576" spans="1:38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tr">
        <f>IF(Table1[[#This Row],[Age]]&lt;=25,"Young",IF(Table1[[#This Row],[Age]]&lt;=35,"Early Career",IF(Table1[[#This Row],[Age]]&lt;=45,"Mid Career","Senior")))</f>
        <v>Early Career</v>
      </c>
      <c r="AK576" t="str">
        <f>IF(Table1[[#This Row],[MonthlyIncome]]&lt;3000,"Low",IF(Table1[[#This Row],[MonthlyIncome]]&lt;7000,"Medium","High"))</f>
        <v>Medium</v>
      </c>
      <c r="AL57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577" spans="1:38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tr">
        <f>IF(Table1[[#This Row],[Age]]&lt;=25,"Young",IF(Table1[[#This Row],[Age]]&lt;=35,"Early Career",IF(Table1[[#This Row],[Age]]&lt;=45,"Mid Career","Senior")))</f>
        <v>Senior</v>
      </c>
      <c r="AK577" t="str">
        <f>IF(Table1[[#This Row],[MonthlyIncome]]&lt;3000,"Low",IF(Table1[[#This Row],[MonthlyIncome]]&lt;7000,"Medium","High"))</f>
        <v>Medium</v>
      </c>
      <c r="AL57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578" spans="1:38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tr">
        <f>IF(Table1[[#This Row],[Age]]&lt;=25,"Young",IF(Table1[[#This Row],[Age]]&lt;=35,"Early Career",IF(Table1[[#This Row],[Age]]&lt;=45,"Mid Career","Senior")))</f>
        <v>Early Career</v>
      </c>
      <c r="AK578" t="str">
        <f>IF(Table1[[#This Row],[MonthlyIncome]]&lt;3000,"Low",IF(Table1[[#This Row],[MonthlyIncome]]&lt;7000,"Medium","High"))</f>
        <v>Medium</v>
      </c>
      <c r="AL57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579" spans="1:38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tr">
        <f>IF(Table1[[#This Row],[Age]]&lt;=25,"Young",IF(Table1[[#This Row],[Age]]&lt;=35,"Early Career",IF(Table1[[#This Row],[Age]]&lt;=45,"Mid Career","Senior")))</f>
        <v>Mid Career</v>
      </c>
      <c r="AK579" t="str">
        <f>IF(Table1[[#This Row],[MonthlyIncome]]&lt;3000,"Low",IF(Table1[[#This Row],[MonthlyIncome]]&lt;7000,"Medium","High"))</f>
        <v>Low</v>
      </c>
      <c r="AL57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580" spans="1:38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tr">
        <f>IF(Table1[[#This Row],[Age]]&lt;=25,"Young",IF(Table1[[#This Row],[Age]]&lt;=35,"Early Career",IF(Table1[[#This Row],[Age]]&lt;=45,"Mid Career","Senior")))</f>
        <v>Mid Career</v>
      </c>
      <c r="AK580" t="str">
        <f>IF(Table1[[#This Row],[MonthlyIncome]]&lt;3000,"Low",IF(Table1[[#This Row],[MonthlyIncome]]&lt;7000,"Medium","High"))</f>
        <v>Medium</v>
      </c>
      <c r="AL580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581" spans="1:38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tr">
        <f>IF(Table1[[#This Row],[Age]]&lt;=25,"Young",IF(Table1[[#This Row],[Age]]&lt;=35,"Early Career",IF(Table1[[#This Row],[Age]]&lt;=45,"Mid Career","Senior")))</f>
        <v>Early Career</v>
      </c>
      <c r="AK581" t="str">
        <f>IF(Table1[[#This Row],[MonthlyIncome]]&lt;3000,"Low",IF(Table1[[#This Row],[MonthlyIncome]]&lt;7000,"Medium","High"))</f>
        <v>Medium</v>
      </c>
      <c r="AL58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82" spans="1:38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tr">
        <f>IF(Table1[[#This Row],[Age]]&lt;=25,"Young",IF(Table1[[#This Row],[Age]]&lt;=35,"Early Career",IF(Table1[[#This Row],[Age]]&lt;=45,"Mid Career","Senior")))</f>
        <v>Early Career</v>
      </c>
      <c r="AK582" t="str">
        <f>IF(Table1[[#This Row],[MonthlyIncome]]&lt;3000,"Low",IF(Table1[[#This Row],[MonthlyIncome]]&lt;7000,"Medium","High"))</f>
        <v>Low</v>
      </c>
      <c r="AL58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583" spans="1:38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tr">
        <f>IF(Table1[[#This Row],[Age]]&lt;=25,"Young",IF(Table1[[#This Row],[Age]]&lt;=35,"Early Career",IF(Table1[[#This Row],[Age]]&lt;=45,"Mid Career","Senior")))</f>
        <v>Early Career</v>
      </c>
      <c r="AK583" t="str">
        <f>IF(Table1[[#This Row],[MonthlyIncome]]&lt;3000,"Low",IF(Table1[[#This Row],[MonthlyIncome]]&lt;7000,"Medium","High"))</f>
        <v>Medium</v>
      </c>
      <c r="AL58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584" spans="1:38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tr">
        <f>IF(Table1[[#This Row],[Age]]&lt;=25,"Young",IF(Table1[[#This Row],[Age]]&lt;=35,"Early Career",IF(Table1[[#This Row],[Age]]&lt;=45,"Mid Career","Senior")))</f>
        <v>Mid Career</v>
      </c>
      <c r="AK584" t="str">
        <f>IF(Table1[[#This Row],[MonthlyIncome]]&lt;3000,"Low",IF(Table1[[#This Row],[MonthlyIncome]]&lt;7000,"Medium","High"))</f>
        <v>Medium</v>
      </c>
      <c r="AL58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85" spans="1:38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tr">
        <f>IF(Table1[[#This Row],[Age]]&lt;=25,"Young",IF(Table1[[#This Row],[Age]]&lt;=35,"Early Career",IF(Table1[[#This Row],[Age]]&lt;=45,"Mid Career","Senior")))</f>
        <v>Early Career</v>
      </c>
      <c r="AK585" t="str">
        <f>IF(Table1[[#This Row],[MonthlyIncome]]&lt;3000,"Low",IF(Table1[[#This Row],[MonthlyIncome]]&lt;7000,"Medium","High"))</f>
        <v>Medium</v>
      </c>
      <c r="AL58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586" spans="1:38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tr">
        <f>IF(Table1[[#This Row],[Age]]&lt;=25,"Young",IF(Table1[[#This Row],[Age]]&lt;=35,"Early Career",IF(Table1[[#This Row],[Age]]&lt;=45,"Mid Career","Senior")))</f>
        <v>Mid Career</v>
      </c>
      <c r="AK586" t="str">
        <f>IF(Table1[[#This Row],[MonthlyIncome]]&lt;3000,"Low",IF(Table1[[#This Row],[MonthlyIncome]]&lt;7000,"Medium","High"))</f>
        <v>High</v>
      </c>
      <c r="AL586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587" spans="1:38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tr">
        <f>IF(Table1[[#This Row],[Age]]&lt;=25,"Young",IF(Table1[[#This Row],[Age]]&lt;=35,"Early Career",IF(Table1[[#This Row],[Age]]&lt;=45,"Mid Career","Senior")))</f>
        <v>Young</v>
      </c>
      <c r="AK587" t="str">
        <f>IF(Table1[[#This Row],[MonthlyIncome]]&lt;3000,"Low",IF(Table1[[#This Row],[MonthlyIncome]]&lt;7000,"Medium","High"))</f>
        <v>Low</v>
      </c>
      <c r="AL58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588" spans="1:38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tr">
        <f>IF(Table1[[#This Row],[Age]]&lt;=25,"Young",IF(Table1[[#This Row],[Age]]&lt;=35,"Early Career",IF(Table1[[#This Row],[Age]]&lt;=45,"Mid Career","Senior")))</f>
        <v>Young</v>
      </c>
      <c r="AK588" t="str">
        <f>IF(Table1[[#This Row],[MonthlyIncome]]&lt;3000,"Low",IF(Table1[[#This Row],[MonthlyIncome]]&lt;7000,"Medium","High"))</f>
        <v>Low</v>
      </c>
      <c r="AL58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589" spans="1:38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tr">
        <f>IF(Table1[[#This Row],[Age]]&lt;=25,"Young",IF(Table1[[#This Row],[Age]]&lt;=35,"Early Career",IF(Table1[[#This Row],[Age]]&lt;=45,"Mid Career","Senior")))</f>
        <v>Senior</v>
      </c>
      <c r="AK589" t="str">
        <f>IF(Table1[[#This Row],[MonthlyIncome]]&lt;3000,"Low",IF(Table1[[#This Row],[MonthlyIncome]]&lt;7000,"Medium","High"))</f>
        <v>Medium</v>
      </c>
      <c r="AL58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590" spans="1:38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tr">
        <f>IF(Table1[[#This Row],[Age]]&lt;=25,"Young",IF(Table1[[#This Row],[Age]]&lt;=35,"Early Career",IF(Table1[[#This Row],[Age]]&lt;=45,"Mid Career","Senior")))</f>
        <v>Senior</v>
      </c>
      <c r="AK590" t="str">
        <f>IF(Table1[[#This Row],[MonthlyIncome]]&lt;3000,"Low",IF(Table1[[#This Row],[MonthlyIncome]]&lt;7000,"Medium","High"))</f>
        <v>High</v>
      </c>
      <c r="AL59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591" spans="1:38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tr">
        <f>IF(Table1[[#This Row],[Age]]&lt;=25,"Young",IF(Table1[[#This Row],[Age]]&lt;=35,"Early Career",IF(Table1[[#This Row],[Age]]&lt;=45,"Mid Career","Senior")))</f>
        <v>Early Career</v>
      </c>
      <c r="AK591" t="str">
        <f>IF(Table1[[#This Row],[MonthlyIncome]]&lt;3000,"Low",IF(Table1[[#This Row],[MonthlyIncome]]&lt;7000,"Medium","High"))</f>
        <v>Low</v>
      </c>
      <c r="AL59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592" spans="1:38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tr">
        <f>IF(Table1[[#This Row],[Age]]&lt;=25,"Young",IF(Table1[[#This Row],[Age]]&lt;=35,"Early Career",IF(Table1[[#This Row],[Age]]&lt;=45,"Mid Career","Senior")))</f>
        <v>Early Career</v>
      </c>
      <c r="AK592" t="str">
        <f>IF(Table1[[#This Row],[MonthlyIncome]]&lt;3000,"Low",IF(Table1[[#This Row],[MonthlyIncome]]&lt;7000,"Medium","High"))</f>
        <v>High</v>
      </c>
      <c r="AL592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593" spans="1:38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tr">
        <f>IF(Table1[[#This Row],[Age]]&lt;=25,"Young",IF(Table1[[#This Row],[Age]]&lt;=35,"Early Career",IF(Table1[[#This Row],[Age]]&lt;=45,"Mid Career","Senior")))</f>
        <v>Early Career</v>
      </c>
      <c r="AK593" t="str">
        <f>IF(Table1[[#This Row],[MonthlyIncome]]&lt;3000,"Low",IF(Table1[[#This Row],[MonthlyIncome]]&lt;7000,"Medium","High"))</f>
        <v>Medium</v>
      </c>
      <c r="AL593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594" spans="1:38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tr">
        <f>IF(Table1[[#This Row],[Age]]&lt;=25,"Young",IF(Table1[[#This Row],[Age]]&lt;=35,"Early Career",IF(Table1[[#This Row],[Age]]&lt;=45,"Mid Career","Senior")))</f>
        <v>Senior</v>
      </c>
      <c r="AK594" t="str">
        <f>IF(Table1[[#This Row],[MonthlyIncome]]&lt;3000,"Low",IF(Table1[[#This Row],[MonthlyIncome]]&lt;7000,"Medium","High"))</f>
        <v>High</v>
      </c>
      <c r="AL594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595" spans="1:38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tr">
        <f>IF(Table1[[#This Row],[Age]]&lt;=25,"Young",IF(Table1[[#This Row],[Age]]&lt;=35,"Early Career",IF(Table1[[#This Row],[Age]]&lt;=45,"Mid Career","Senior")))</f>
        <v>Mid Career</v>
      </c>
      <c r="AK595" t="str">
        <f>IF(Table1[[#This Row],[MonthlyIncome]]&lt;3000,"Low",IF(Table1[[#This Row],[MonthlyIncome]]&lt;7000,"Medium","High"))</f>
        <v>Medium</v>
      </c>
      <c r="AL59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96" spans="1:38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tr">
        <f>IF(Table1[[#This Row],[Age]]&lt;=25,"Young",IF(Table1[[#This Row],[Age]]&lt;=35,"Early Career",IF(Table1[[#This Row],[Age]]&lt;=45,"Mid Career","Senior")))</f>
        <v>Early Career</v>
      </c>
      <c r="AK596" t="str">
        <f>IF(Table1[[#This Row],[MonthlyIncome]]&lt;3000,"Low",IF(Table1[[#This Row],[MonthlyIncome]]&lt;7000,"Medium","High"))</f>
        <v>Low</v>
      </c>
      <c r="AL59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597" spans="1:38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tr">
        <f>IF(Table1[[#This Row],[Age]]&lt;=25,"Young",IF(Table1[[#This Row],[Age]]&lt;=35,"Early Career",IF(Table1[[#This Row],[Age]]&lt;=45,"Mid Career","Senior")))</f>
        <v>Senior</v>
      </c>
      <c r="AK597" t="str">
        <f>IF(Table1[[#This Row],[MonthlyIncome]]&lt;3000,"Low",IF(Table1[[#This Row],[MonthlyIncome]]&lt;7000,"Medium","High"))</f>
        <v>High</v>
      </c>
      <c r="AL597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598" spans="1:38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tr">
        <f>IF(Table1[[#This Row],[Age]]&lt;=25,"Young",IF(Table1[[#This Row],[Age]]&lt;=35,"Early Career",IF(Table1[[#This Row],[Age]]&lt;=45,"Mid Career","Senior")))</f>
        <v>Early Career</v>
      </c>
      <c r="AK598" t="str">
        <f>IF(Table1[[#This Row],[MonthlyIncome]]&lt;3000,"Low",IF(Table1[[#This Row],[MonthlyIncome]]&lt;7000,"Medium","High"))</f>
        <v>Low</v>
      </c>
      <c r="AL59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599" spans="1:38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tr">
        <f>IF(Table1[[#This Row],[Age]]&lt;=25,"Young",IF(Table1[[#This Row],[Age]]&lt;=35,"Early Career",IF(Table1[[#This Row],[Age]]&lt;=45,"Mid Career","Senior")))</f>
        <v>Mid Career</v>
      </c>
      <c r="AK599" t="str">
        <f>IF(Table1[[#This Row],[MonthlyIncome]]&lt;3000,"Low",IF(Table1[[#This Row],[MonthlyIncome]]&lt;7000,"Medium","High"))</f>
        <v>Medium</v>
      </c>
      <c r="AL59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00" spans="1:38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tr">
        <f>IF(Table1[[#This Row],[Age]]&lt;=25,"Young",IF(Table1[[#This Row],[Age]]&lt;=35,"Early Career",IF(Table1[[#This Row],[Age]]&lt;=45,"Mid Career","Senior")))</f>
        <v>Early Career</v>
      </c>
      <c r="AK600" t="str">
        <f>IF(Table1[[#This Row],[MonthlyIncome]]&lt;3000,"Low",IF(Table1[[#This Row],[MonthlyIncome]]&lt;7000,"Medium","High"))</f>
        <v>Medium</v>
      </c>
      <c r="AL60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601" spans="1:38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tr">
        <f>IF(Table1[[#This Row],[Age]]&lt;=25,"Young",IF(Table1[[#This Row],[Age]]&lt;=35,"Early Career",IF(Table1[[#This Row],[Age]]&lt;=45,"Mid Career","Senior")))</f>
        <v>Mid Career</v>
      </c>
      <c r="AK601" t="str">
        <f>IF(Table1[[#This Row],[MonthlyIncome]]&lt;3000,"Low",IF(Table1[[#This Row],[MonthlyIncome]]&lt;7000,"Medium","High"))</f>
        <v>Low</v>
      </c>
      <c r="AL60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02" spans="1:38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tr">
        <f>IF(Table1[[#This Row],[Age]]&lt;=25,"Young",IF(Table1[[#This Row],[Age]]&lt;=35,"Early Career",IF(Table1[[#This Row],[Age]]&lt;=45,"Mid Career","Senior")))</f>
        <v>Early Career</v>
      </c>
      <c r="AK602" t="str">
        <f>IF(Table1[[#This Row],[MonthlyIncome]]&lt;3000,"Low",IF(Table1[[#This Row],[MonthlyIncome]]&lt;7000,"Medium","High"))</f>
        <v>Medium</v>
      </c>
      <c r="AL602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603" spans="1:38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tr">
        <f>IF(Table1[[#This Row],[Age]]&lt;=25,"Young",IF(Table1[[#This Row],[Age]]&lt;=35,"Early Career",IF(Table1[[#This Row],[Age]]&lt;=45,"Mid Career","Senior")))</f>
        <v>Mid Career</v>
      </c>
      <c r="AK603" t="str">
        <f>IF(Table1[[#This Row],[MonthlyIncome]]&lt;3000,"Low",IF(Table1[[#This Row],[MonthlyIncome]]&lt;7000,"Medium","High"))</f>
        <v>Medium</v>
      </c>
      <c r="AL60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604" spans="1:38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tr">
        <f>IF(Table1[[#This Row],[Age]]&lt;=25,"Young",IF(Table1[[#This Row],[Age]]&lt;=35,"Early Career",IF(Table1[[#This Row],[Age]]&lt;=45,"Mid Career","Senior")))</f>
        <v>Early Career</v>
      </c>
      <c r="AK604" t="str">
        <f>IF(Table1[[#This Row],[MonthlyIncome]]&lt;3000,"Low",IF(Table1[[#This Row],[MonthlyIncome]]&lt;7000,"Medium","High"))</f>
        <v>Medium</v>
      </c>
      <c r="AL60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605" spans="1:38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tr">
        <f>IF(Table1[[#This Row],[Age]]&lt;=25,"Young",IF(Table1[[#This Row],[Age]]&lt;=35,"Early Career",IF(Table1[[#This Row],[Age]]&lt;=45,"Mid Career","Senior")))</f>
        <v>Mid Career</v>
      </c>
      <c r="AK605" t="str">
        <f>IF(Table1[[#This Row],[MonthlyIncome]]&lt;3000,"Low",IF(Table1[[#This Row],[MonthlyIncome]]&lt;7000,"Medium","High"))</f>
        <v>Low</v>
      </c>
      <c r="AL605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606" spans="1:38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tr">
        <f>IF(Table1[[#This Row],[Age]]&lt;=25,"Young",IF(Table1[[#This Row],[Age]]&lt;=35,"Early Career",IF(Table1[[#This Row],[Age]]&lt;=45,"Mid Career","Senior")))</f>
        <v>Mid Career</v>
      </c>
      <c r="AK606" t="str">
        <f>IF(Table1[[#This Row],[MonthlyIncome]]&lt;3000,"Low",IF(Table1[[#This Row],[MonthlyIncome]]&lt;7000,"Medium","High"))</f>
        <v>Medium</v>
      </c>
      <c r="AL60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607" spans="1:38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tr">
        <f>IF(Table1[[#This Row],[Age]]&lt;=25,"Young",IF(Table1[[#This Row],[Age]]&lt;=35,"Early Career",IF(Table1[[#This Row],[Age]]&lt;=45,"Mid Career","Senior")))</f>
        <v>Mid Career</v>
      </c>
      <c r="AK607" t="str">
        <f>IF(Table1[[#This Row],[MonthlyIncome]]&lt;3000,"Low",IF(Table1[[#This Row],[MonthlyIncome]]&lt;7000,"Medium","High"))</f>
        <v>Medium</v>
      </c>
      <c r="AL60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08" spans="1:38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tr">
        <f>IF(Table1[[#This Row],[Age]]&lt;=25,"Young",IF(Table1[[#This Row],[Age]]&lt;=35,"Early Career",IF(Table1[[#This Row],[Age]]&lt;=45,"Mid Career","Senior")))</f>
        <v>Early Career</v>
      </c>
      <c r="AK608" t="str">
        <f>IF(Table1[[#This Row],[MonthlyIncome]]&lt;3000,"Low",IF(Table1[[#This Row],[MonthlyIncome]]&lt;7000,"Medium","High"))</f>
        <v>Low</v>
      </c>
      <c r="AL60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09" spans="1:38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tr">
        <f>IF(Table1[[#This Row],[Age]]&lt;=25,"Young",IF(Table1[[#This Row],[Age]]&lt;=35,"Early Career",IF(Table1[[#This Row],[Age]]&lt;=45,"Mid Career","Senior")))</f>
        <v>Senior</v>
      </c>
      <c r="AK609" t="str">
        <f>IF(Table1[[#This Row],[MonthlyIncome]]&lt;3000,"Low",IF(Table1[[#This Row],[MonthlyIncome]]&lt;7000,"Medium","High"))</f>
        <v>High</v>
      </c>
      <c r="AL609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610" spans="1:38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tr">
        <f>IF(Table1[[#This Row],[Age]]&lt;=25,"Young",IF(Table1[[#This Row],[Age]]&lt;=35,"Early Career",IF(Table1[[#This Row],[Age]]&lt;=45,"Mid Career","Senior")))</f>
        <v>Senior</v>
      </c>
      <c r="AK610" t="str">
        <f>IF(Table1[[#This Row],[MonthlyIncome]]&lt;3000,"Low",IF(Table1[[#This Row],[MonthlyIncome]]&lt;7000,"Medium","High"))</f>
        <v>Medium</v>
      </c>
      <c r="AL61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611" spans="1:38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tr">
        <f>IF(Table1[[#This Row],[Age]]&lt;=25,"Young",IF(Table1[[#This Row],[Age]]&lt;=35,"Early Career",IF(Table1[[#This Row],[Age]]&lt;=45,"Mid Career","Senior")))</f>
        <v>Mid Career</v>
      </c>
      <c r="AK611" t="str">
        <f>IF(Table1[[#This Row],[MonthlyIncome]]&lt;3000,"Low",IF(Table1[[#This Row],[MonthlyIncome]]&lt;7000,"Medium","High"))</f>
        <v>High</v>
      </c>
      <c r="AL61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12" spans="1:38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tr">
        <f>IF(Table1[[#This Row],[Age]]&lt;=25,"Young",IF(Table1[[#This Row],[Age]]&lt;=35,"Early Career",IF(Table1[[#This Row],[Age]]&lt;=45,"Mid Career","Senior")))</f>
        <v>Early Career</v>
      </c>
      <c r="AK612" t="str">
        <f>IF(Table1[[#This Row],[MonthlyIncome]]&lt;3000,"Low",IF(Table1[[#This Row],[MonthlyIncome]]&lt;7000,"Medium","High"))</f>
        <v>High</v>
      </c>
      <c r="AL61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613" spans="1:38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tr">
        <f>IF(Table1[[#This Row],[Age]]&lt;=25,"Young",IF(Table1[[#This Row],[Age]]&lt;=35,"Early Career",IF(Table1[[#This Row],[Age]]&lt;=45,"Mid Career","Senior")))</f>
        <v>Early Career</v>
      </c>
      <c r="AK613" t="str">
        <f>IF(Table1[[#This Row],[MonthlyIncome]]&lt;3000,"Low",IF(Table1[[#This Row],[MonthlyIncome]]&lt;7000,"Medium","High"))</f>
        <v>High</v>
      </c>
      <c r="AL61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614" spans="1:38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tr">
        <f>IF(Table1[[#This Row],[Age]]&lt;=25,"Young",IF(Table1[[#This Row],[Age]]&lt;=35,"Early Career",IF(Table1[[#This Row],[Age]]&lt;=45,"Mid Career","Senior")))</f>
        <v>Early Career</v>
      </c>
      <c r="AK614" t="str">
        <f>IF(Table1[[#This Row],[MonthlyIncome]]&lt;3000,"Low",IF(Table1[[#This Row],[MonthlyIncome]]&lt;7000,"Medium","High"))</f>
        <v>Medium</v>
      </c>
      <c r="AL61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615" spans="1:38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tr">
        <f>IF(Table1[[#This Row],[Age]]&lt;=25,"Young",IF(Table1[[#This Row],[Age]]&lt;=35,"Early Career",IF(Table1[[#This Row],[Age]]&lt;=45,"Mid Career","Senior")))</f>
        <v>Early Career</v>
      </c>
      <c r="AK615" t="str">
        <f>IF(Table1[[#This Row],[MonthlyIncome]]&lt;3000,"Low",IF(Table1[[#This Row],[MonthlyIncome]]&lt;7000,"Medium","High"))</f>
        <v>Medium</v>
      </c>
      <c r="AL61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16" spans="1:38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tr">
        <f>IF(Table1[[#This Row],[Age]]&lt;=25,"Young",IF(Table1[[#This Row],[Age]]&lt;=35,"Early Career",IF(Table1[[#This Row],[Age]]&lt;=45,"Mid Career","Senior")))</f>
        <v>Early Career</v>
      </c>
      <c r="AK616" t="str">
        <f>IF(Table1[[#This Row],[MonthlyIncome]]&lt;3000,"Low",IF(Table1[[#This Row],[MonthlyIncome]]&lt;7000,"Medium","High"))</f>
        <v>Low</v>
      </c>
      <c r="AL61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617" spans="1:38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tr">
        <f>IF(Table1[[#This Row],[Age]]&lt;=25,"Young",IF(Table1[[#This Row],[Age]]&lt;=35,"Early Career",IF(Table1[[#This Row],[Age]]&lt;=45,"Mid Career","Senior")))</f>
        <v>Early Career</v>
      </c>
      <c r="AK617" t="str">
        <f>IF(Table1[[#This Row],[MonthlyIncome]]&lt;3000,"Low",IF(Table1[[#This Row],[MonthlyIncome]]&lt;7000,"Medium","High"))</f>
        <v>Low</v>
      </c>
      <c r="AL61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618" spans="1:38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tr">
        <f>IF(Table1[[#This Row],[Age]]&lt;=25,"Young",IF(Table1[[#This Row],[Age]]&lt;=35,"Early Career",IF(Table1[[#This Row],[Age]]&lt;=45,"Mid Career","Senior")))</f>
        <v>Senior</v>
      </c>
      <c r="AK618" t="str">
        <f>IF(Table1[[#This Row],[MonthlyIncome]]&lt;3000,"Low",IF(Table1[[#This Row],[MonthlyIncome]]&lt;7000,"Medium","High"))</f>
        <v>High</v>
      </c>
      <c r="AL618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619" spans="1:38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tr">
        <f>IF(Table1[[#This Row],[Age]]&lt;=25,"Young",IF(Table1[[#This Row],[Age]]&lt;=35,"Early Career",IF(Table1[[#This Row],[Age]]&lt;=45,"Mid Career","Senior")))</f>
        <v>Mid Career</v>
      </c>
      <c r="AK619" t="str">
        <f>IF(Table1[[#This Row],[MonthlyIncome]]&lt;3000,"Low",IF(Table1[[#This Row],[MonthlyIncome]]&lt;7000,"Medium","High"))</f>
        <v>Medium</v>
      </c>
      <c r="AL61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20" spans="1:38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tr">
        <f>IF(Table1[[#This Row],[Age]]&lt;=25,"Young",IF(Table1[[#This Row],[Age]]&lt;=35,"Early Career",IF(Table1[[#This Row],[Age]]&lt;=45,"Mid Career","Senior")))</f>
        <v>Young</v>
      </c>
      <c r="AK620" t="str">
        <f>IF(Table1[[#This Row],[MonthlyIncome]]&lt;3000,"Low",IF(Table1[[#This Row],[MonthlyIncome]]&lt;7000,"Medium","High"))</f>
        <v>Medium</v>
      </c>
      <c r="AL62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21" spans="1:38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tr">
        <f>IF(Table1[[#This Row],[Age]]&lt;=25,"Young",IF(Table1[[#This Row],[Age]]&lt;=35,"Early Career",IF(Table1[[#This Row],[Age]]&lt;=45,"Mid Career","Senior")))</f>
        <v>Early Career</v>
      </c>
      <c r="AK621" t="str">
        <f>IF(Table1[[#This Row],[MonthlyIncome]]&lt;3000,"Low",IF(Table1[[#This Row],[MonthlyIncome]]&lt;7000,"Medium","High"))</f>
        <v>Medium</v>
      </c>
      <c r="AL62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622" spans="1:38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tr">
        <f>IF(Table1[[#This Row],[Age]]&lt;=25,"Young",IF(Table1[[#This Row],[Age]]&lt;=35,"Early Career",IF(Table1[[#This Row],[Age]]&lt;=45,"Mid Career","Senior")))</f>
        <v>Early Career</v>
      </c>
      <c r="AK622" t="str">
        <f>IF(Table1[[#This Row],[MonthlyIncome]]&lt;3000,"Low",IF(Table1[[#This Row],[MonthlyIncome]]&lt;7000,"Medium","High"))</f>
        <v>Low</v>
      </c>
      <c r="AL62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623" spans="1:38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tr">
        <f>IF(Table1[[#This Row],[Age]]&lt;=25,"Young",IF(Table1[[#This Row],[Age]]&lt;=35,"Early Career",IF(Table1[[#This Row],[Age]]&lt;=45,"Mid Career","Senior")))</f>
        <v>Mid Career</v>
      </c>
      <c r="AK623" t="str">
        <f>IF(Table1[[#This Row],[MonthlyIncome]]&lt;3000,"Low",IF(Table1[[#This Row],[MonthlyIncome]]&lt;7000,"Medium","High"))</f>
        <v>Medium</v>
      </c>
      <c r="AL623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624" spans="1:38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tr">
        <f>IF(Table1[[#This Row],[Age]]&lt;=25,"Young",IF(Table1[[#This Row],[Age]]&lt;=35,"Early Career",IF(Table1[[#This Row],[Age]]&lt;=45,"Mid Career","Senior")))</f>
        <v>Early Career</v>
      </c>
      <c r="AK624" t="str">
        <f>IF(Table1[[#This Row],[MonthlyIncome]]&lt;3000,"Low",IF(Table1[[#This Row],[MonthlyIncome]]&lt;7000,"Medium","High"))</f>
        <v>Medium</v>
      </c>
      <c r="AL62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25" spans="1:38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tr">
        <f>IF(Table1[[#This Row],[Age]]&lt;=25,"Young",IF(Table1[[#This Row],[Age]]&lt;=35,"Early Career",IF(Table1[[#This Row],[Age]]&lt;=45,"Mid Career","Senior")))</f>
        <v>Early Career</v>
      </c>
      <c r="AK625" t="str">
        <f>IF(Table1[[#This Row],[MonthlyIncome]]&lt;3000,"Low",IF(Table1[[#This Row],[MonthlyIncome]]&lt;7000,"Medium","High"))</f>
        <v>Medium</v>
      </c>
      <c r="AL62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26" spans="1:38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tr">
        <f>IF(Table1[[#This Row],[Age]]&lt;=25,"Young",IF(Table1[[#This Row],[Age]]&lt;=35,"Early Career",IF(Table1[[#This Row],[Age]]&lt;=45,"Mid Career","Senior")))</f>
        <v>Senior</v>
      </c>
      <c r="AK626" t="str">
        <f>IF(Table1[[#This Row],[MonthlyIncome]]&lt;3000,"Low",IF(Table1[[#This Row],[MonthlyIncome]]&lt;7000,"Medium","High"))</f>
        <v>High</v>
      </c>
      <c r="AL62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27" spans="1:38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tr">
        <f>IF(Table1[[#This Row],[Age]]&lt;=25,"Young",IF(Table1[[#This Row],[Age]]&lt;=35,"Early Career",IF(Table1[[#This Row],[Age]]&lt;=45,"Mid Career","Senior")))</f>
        <v>Mid Career</v>
      </c>
      <c r="AK627" t="str">
        <f>IF(Table1[[#This Row],[MonthlyIncome]]&lt;3000,"Low",IF(Table1[[#This Row],[MonthlyIncome]]&lt;7000,"Medium","High"))</f>
        <v>High</v>
      </c>
      <c r="AL62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28" spans="1:38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tr">
        <f>IF(Table1[[#This Row],[Age]]&lt;=25,"Young",IF(Table1[[#This Row],[Age]]&lt;=35,"Early Career",IF(Table1[[#This Row],[Age]]&lt;=45,"Mid Career","Senior")))</f>
        <v>Early Career</v>
      </c>
      <c r="AK628" t="str">
        <f>IF(Table1[[#This Row],[MonthlyIncome]]&lt;3000,"Low",IF(Table1[[#This Row],[MonthlyIncome]]&lt;7000,"Medium","High"))</f>
        <v>Medium</v>
      </c>
      <c r="AL62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29" spans="1:38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tr">
        <f>IF(Table1[[#This Row],[Age]]&lt;=25,"Young",IF(Table1[[#This Row],[Age]]&lt;=35,"Early Career",IF(Table1[[#This Row],[Age]]&lt;=45,"Mid Career","Senior")))</f>
        <v>Senior</v>
      </c>
      <c r="AK629" t="str">
        <f>IF(Table1[[#This Row],[MonthlyIncome]]&lt;3000,"Low",IF(Table1[[#This Row],[MonthlyIncome]]&lt;7000,"Medium","High"))</f>
        <v>High</v>
      </c>
      <c r="AL629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630" spans="1:38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tr">
        <f>IF(Table1[[#This Row],[Age]]&lt;=25,"Young",IF(Table1[[#This Row],[Age]]&lt;=35,"Early Career",IF(Table1[[#This Row],[Age]]&lt;=45,"Mid Career","Senior")))</f>
        <v>Mid Career</v>
      </c>
      <c r="AK630" t="str">
        <f>IF(Table1[[#This Row],[MonthlyIncome]]&lt;3000,"Low",IF(Table1[[#This Row],[MonthlyIncome]]&lt;7000,"Medium","High"))</f>
        <v>Medium</v>
      </c>
      <c r="AL63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631" spans="1:38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tr">
        <f>IF(Table1[[#This Row],[Age]]&lt;=25,"Young",IF(Table1[[#This Row],[Age]]&lt;=35,"Early Career",IF(Table1[[#This Row],[Age]]&lt;=45,"Mid Career","Senior")))</f>
        <v>Early Career</v>
      </c>
      <c r="AK631" t="str">
        <f>IF(Table1[[#This Row],[MonthlyIncome]]&lt;3000,"Low",IF(Table1[[#This Row],[MonthlyIncome]]&lt;7000,"Medium","High"))</f>
        <v>Medium</v>
      </c>
      <c r="AL63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32" spans="1:38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tr">
        <f>IF(Table1[[#This Row],[Age]]&lt;=25,"Young",IF(Table1[[#This Row],[Age]]&lt;=35,"Early Career",IF(Table1[[#This Row],[Age]]&lt;=45,"Mid Career","Senior")))</f>
        <v>Young</v>
      </c>
      <c r="AK632" t="str">
        <f>IF(Table1[[#This Row],[MonthlyIncome]]&lt;3000,"Low",IF(Table1[[#This Row],[MonthlyIncome]]&lt;7000,"Medium","High"))</f>
        <v>Medium</v>
      </c>
      <c r="AL63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633" spans="1:38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tr">
        <f>IF(Table1[[#This Row],[Age]]&lt;=25,"Young",IF(Table1[[#This Row],[Age]]&lt;=35,"Early Career",IF(Table1[[#This Row],[Age]]&lt;=45,"Mid Career","Senior")))</f>
        <v>Mid Career</v>
      </c>
      <c r="AK633" t="str">
        <f>IF(Table1[[#This Row],[MonthlyIncome]]&lt;3000,"Low",IF(Table1[[#This Row],[MonthlyIncome]]&lt;7000,"Medium","High"))</f>
        <v>Low</v>
      </c>
      <c r="AL633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34" spans="1:38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tr">
        <f>IF(Table1[[#This Row],[Age]]&lt;=25,"Young",IF(Table1[[#This Row],[Age]]&lt;=35,"Early Career",IF(Table1[[#This Row],[Age]]&lt;=45,"Mid Career","Senior")))</f>
        <v>Mid Career</v>
      </c>
      <c r="AK634" t="str">
        <f>IF(Table1[[#This Row],[MonthlyIncome]]&lt;3000,"Low",IF(Table1[[#This Row],[MonthlyIncome]]&lt;7000,"Medium","High"))</f>
        <v>Low</v>
      </c>
      <c r="AL63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635" spans="1:38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tr">
        <f>IF(Table1[[#This Row],[Age]]&lt;=25,"Young",IF(Table1[[#This Row],[Age]]&lt;=35,"Early Career",IF(Table1[[#This Row],[Age]]&lt;=45,"Mid Career","Senior")))</f>
        <v>Mid Career</v>
      </c>
      <c r="AK635" t="str">
        <f>IF(Table1[[#This Row],[MonthlyIncome]]&lt;3000,"Low",IF(Table1[[#This Row],[MonthlyIncome]]&lt;7000,"Medium","High"))</f>
        <v>Low</v>
      </c>
      <c r="AL63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36" spans="1:38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tr">
        <f>IF(Table1[[#This Row],[Age]]&lt;=25,"Young",IF(Table1[[#This Row],[Age]]&lt;=35,"Early Career",IF(Table1[[#This Row],[Age]]&lt;=45,"Mid Career","Senior")))</f>
        <v>Young</v>
      </c>
      <c r="AK636" t="str">
        <f>IF(Table1[[#This Row],[MonthlyIncome]]&lt;3000,"Low",IF(Table1[[#This Row],[MonthlyIncome]]&lt;7000,"Medium","High"))</f>
        <v>Medium</v>
      </c>
      <c r="AL63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37" spans="1:38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tr">
        <f>IF(Table1[[#This Row],[Age]]&lt;=25,"Young",IF(Table1[[#This Row],[Age]]&lt;=35,"Early Career",IF(Table1[[#This Row],[Age]]&lt;=45,"Mid Career","Senior")))</f>
        <v>Early Career</v>
      </c>
      <c r="AK637" t="str">
        <f>IF(Table1[[#This Row],[MonthlyIncome]]&lt;3000,"Low",IF(Table1[[#This Row],[MonthlyIncome]]&lt;7000,"Medium","High"))</f>
        <v>High</v>
      </c>
      <c r="AL637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638" spans="1:38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tr">
        <f>IF(Table1[[#This Row],[Age]]&lt;=25,"Young",IF(Table1[[#This Row],[Age]]&lt;=35,"Early Career",IF(Table1[[#This Row],[Age]]&lt;=45,"Mid Career","Senior")))</f>
        <v>Early Career</v>
      </c>
      <c r="AK638" t="str">
        <f>IF(Table1[[#This Row],[MonthlyIncome]]&lt;3000,"Low",IF(Table1[[#This Row],[MonthlyIncome]]&lt;7000,"Medium","High"))</f>
        <v>Low</v>
      </c>
      <c r="AL63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639" spans="1:38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tr">
        <f>IF(Table1[[#This Row],[Age]]&lt;=25,"Young",IF(Table1[[#This Row],[Age]]&lt;=35,"Early Career",IF(Table1[[#This Row],[Age]]&lt;=45,"Mid Career","Senior")))</f>
        <v>Early Career</v>
      </c>
      <c r="AK639" t="str">
        <f>IF(Table1[[#This Row],[MonthlyIncome]]&lt;3000,"Low",IF(Table1[[#This Row],[MonthlyIncome]]&lt;7000,"Medium","High"))</f>
        <v>Low</v>
      </c>
      <c r="AL63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40" spans="1:38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tr">
        <f>IF(Table1[[#This Row],[Age]]&lt;=25,"Young",IF(Table1[[#This Row],[Age]]&lt;=35,"Early Career",IF(Table1[[#This Row],[Age]]&lt;=45,"Mid Career","Senior")))</f>
        <v>Young</v>
      </c>
      <c r="AK640" t="str">
        <f>IF(Table1[[#This Row],[MonthlyIncome]]&lt;3000,"Low",IF(Table1[[#This Row],[MonthlyIncome]]&lt;7000,"Medium","High"))</f>
        <v>Medium</v>
      </c>
      <c r="AL64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41" spans="1:38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tr">
        <f>IF(Table1[[#This Row],[Age]]&lt;=25,"Young",IF(Table1[[#This Row],[Age]]&lt;=35,"Early Career",IF(Table1[[#This Row],[Age]]&lt;=45,"Mid Career","Senior")))</f>
        <v>Senior</v>
      </c>
      <c r="AK641" t="str">
        <f>IF(Table1[[#This Row],[MonthlyIncome]]&lt;3000,"Low",IF(Table1[[#This Row],[MonthlyIncome]]&lt;7000,"Medium","High"))</f>
        <v>Medium</v>
      </c>
      <c r="AL64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42" spans="1:38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tr">
        <f>IF(Table1[[#This Row],[Age]]&lt;=25,"Young",IF(Table1[[#This Row],[Age]]&lt;=35,"Early Career",IF(Table1[[#This Row],[Age]]&lt;=45,"Mid Career","Senior")))</f>
        <v>Young</v>
      </c>
      <c r="AK642" t="str">
        <f>IF(Table1[[#This Row],[MonthlyIncome]]&lt;3000,"Low",IF(Table1[[#This Row],[MonthlyIncome]]&lt;7000,"Medium","High"))</f>
        <v>Medium</v>
      </c>
      <c r="AL64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43" spans="1:38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tr">
        <f>IF(Table1[[#This Row],[Age]]&lt;=25,"Young",IF(Table1[[#This Row],[Age]]&lt;=35,"Early Career",IF(Table1[[#This Row],[Age]]&lt;=45,"Mid Career","Senior")))</f>
        <v>Early Career</v>
      </c>
      <c r="AK643" t="str">
        <f>IF(Table1[[#This Row],[MonthlyIncome]]&lt;3000,"Low",IF(Table1[[#This Row],[MonthlyIncome]]&lt;7000,"Medium","High"))</f>
        <v>Medium</v>
      </c>
      <c r="AL64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644" spans="1:38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tr">
        <f>IF(Table1[[#This Row],[Age]]&lt;=25,"Young",IF(Table1[[#This Row],[Age]]&lt;=35,"Early Career",IF(Table1[[#This Row],[Age]]&lt;=45,"Mid Career","Senior")))</f>
        <v>Mid Career</v>
      </c>
      <c r="AK644" t="str">
        <f>IF(Table1[[#This Row],[MonthlyIncome]]&lt;3000,"Low",IF(Table1[[#This Row],[MonthlyIncome]]&lt;7000,"Medium","High"))</f>
        <v>Low</v>
      </c>
      <c r="AL64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645" spans="1:38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tr">
        <f>IF(Table1[[#This Row],[Age]]&lt;=25,"Young",IF(Table1[[#This Row],[Age]]&lt;=35,"Early Career",IF(Table1[[#This Row],[Age]]&lt;=45,"Mid Career","Senior")))</f>
        <v>Mid Career</v>
      </c>
      <c r="AK645" t="str">
        <f>IF(Table1[[#This Row],[MonthlyIncome]]&lt;3000,"Low",IF(Table1[[#This Row],[MonthlyIncome]]&lt;7000,"Medium","High"))</f>
        <v>Medium</v>
      </c>
      <c r="AL64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46" spans="1:38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tr">
        <f>IF(Table1[[#This Row],[Age]]&lt;=25,"Young",IF(Table1[[#This Row],[Age]]&lt;=35,"Early Career",IF(Table1[[#This Row],[Age]]&lt;=45,"Mid Career","Senior")))</f>
        <v>Early Career</v>
      </c>
      <c r="AK646" t="str">
        <f>IF(Table1[[#This Row],[MonthlyIncome]]&lt;3000,"Low",IF(Table1[[#This Row],[MonthlyIncome]]&lt;7000,"Medium","High"))</f>
        <v>Low</v>
      </c>
      <c r="AL64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647" spans="1:38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tr">
        <f>IF(Table1[[#This Row],[Age]]&lt;=25,"Young",IF(Table1[[#This Row],[Age]]&lt;=35,"Early Career",IF(Table1[[#This Row],[Age]]&lt;=45,"Mid Career","Senior")))</f>
        <v>Early Career</v>
      </c>
      <c r="AK647" t="str">
        <f>IF(Table1[[#This Row],[MonthlyIncome]]&lt;3000,"Low",IF(Table1[[#This Row],[MonthlyIncome]]&lt;7000,"Medium","High"))</f>
        <v>Low</v>
      </c>
      <c r="AL64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48" spans="1:38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tr">
        <f>IF(Table1[[#This Row],[Age]]&lt;=25,"Young",IF(Table1[[#This Row],[Age]]&lt;=35,"Early Career",IF(Table1[[#This Row],[Age]]&lt;=45,"Mid Career","Senior")))</f>
        <v>Senior</v>
      </c>
      <c r="AK648" t="str">
        <f>IF(Table1[[#This Row],[MonthlyIncome]]&lt;3000,"Low",IF(Table1[[#This Row],[MonthlyIncome]]&lt;7000,"Medium","High"))</f>
        <v>High</v>
      </c>
      <c r="AL64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649" spans="1:38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tr">
        <f>IF(Table1[[#This Row],[Age]]&lt;=25,"Young",IF(Table1[[#This Row],[Age]]&lt;=35,"Early Career",IF(Table1[[#This Row],[Age]]&lt;=45,"Mid Career","Senior")))</f>
        <v>Early Career</v>
      </c>
      <c r="AK649" t="str">
        <f>IF(Table1[[#This Row],[MonthlyIncome]]&lt;3000,"Low",IF(Table1[[#This Row],[MonthlyIncome]]&lt;7000,"Medium","High"))</f>
        <v>High</v>
      </c>
      <c r="AL649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650" spans="1:38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tr">
        <f>IF(Table1[[#This Row],[Age]]&lt;=25,"Young",IF(Table1[[#This Row],[Age]]&lt;=35,"Early Career",IF(Table1[[#This Row],[Age]]&lt;=45,"Mid Career","Senior")))</f>
        <v>Mid Career</v>
      </c>
      <c r="AK650" t="str">
        <f>IF(Table1[[#This Row],[MonthlyIncome]]&lt;3000,"Low",IF(Table1[[#This Row],[MonthlyIncome]]&lt;7000,"Medium","High"))</f>
        <v>Low</v>
      </c>
      <c r="AL65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51" spans="1:38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tr">
        <f>IF(Table1[[#This Row],[Age]]&lt;=25,"Young",IF(Table1[[#This Row],[Age]]&lt;=35,"Early Career",IF(Table1[[#This Row],[Age]]&lt;=45,"Mid Career","Senior")))</f>
        <v>Senior</v>
      </c>
      <c r="AK651" t="str">
        <f>IF(Table1[[#This Row],[MonthlyIncome]]&lt;3000,"Low",IF(Table1[[#This Row],[MonthlyIncome]]&lt;7000,"Medium","High"))</f>
        <v>High</v>
      </c>
      <c r="AL651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652" spans="1:38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tr">
        <f>IF(Table1[[#This Row],[Age]]&lt;=25,"Young",IF(Table1[[#This Row],[Age]]&lt;=35,"Early Career",IF(Table1[[#This Row],[Age]]&lt;=45,"Mid Career","Senior")))</f>
        <v>Mid Career</v>
      </c>
      <c r="AK652" t="str">
        <f>IF(Table1[[#This Row],[MonthlyIncome]]&lt;3000,"Low",IF(Table1[[#This Row],[MonthlyIncome]]&lt;7000,"Medium","High"))</f>
        <v>Medium</v>
      </c>
      <c r="AL65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53" spans="1:38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tr">
        <f>IF(Table1[[#This Row],[Age]]&lt;=25,"Young",IF(Table1[[#This Row],[Age]]&lt;=35,"Early Career",IF(Table1[[#This Row],[Age]]&lt;=45,"Mid Career","Senior")))</f>
        <v>Senior</v>
      </c>
      <c r="AK653" t="str">
        <f>IF(Table1[[#This Row],[MonthlyIncome]]&lt;3000,"Low",IF(Table1[[#This Row],[MonthlyIncome]]&lt;7000,"Medium","High"))</f>
        <v>Medium</v>
      </c>
      <c r="AL65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654" spans="1:38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tr">
        <f>IF(Table1[[#This Row],[Age]]&lt;=25,"Young",IF(Table1[[#This Row],[Age]]&lt;=35,"Early Career",IF(Table1[[#This Row],[Age]]&lt;=45,"Mid Career","Senior")))</f>
        <v>Mid Career</v>
      </c>
      <c r="AK654" t="str">
        <f>IF(Table1[[#This Row],[MonthlyIncome]]&lt;3000,"Low",IF(Table1[[#This Row],[MonthlyIncome]]&lt;7000,"Medium","High"))</f>
        <v>High</v>
      </c>
      <c r="AL65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655" spans="1:38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tr">
        <f>IF(Table1[[#This Row],[Age]]&lt;=25,"Young",IF(Table1[[#This Row],[Age]]&lt;=35,"Early Career",IF(Table1[[#This Row],[Age]]&lt;=45,"Mid Career","Senior")))</f>
        <v>Senior</v>
      </c>
      <c r="AK655" t="str">
        <f>IF(Table1[[#This Row],[MonthlyIncome]]&lt;3000,"Low",IF(Table1[[#This Row],[MonthlyIncome]]&lt;7000,"Medium","High"))</f>
        <v>High</v>
      </c>
      <c r="AL655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656" spans="1:38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tr">
        <f>IF(Table1[[#This Row],[Age]]&lt;=25,"Young",IF(Table1[[#This Row],[Age]]&lt;=35,"Early Career",IF(Table1[[#This Row],[Age]]&lt;=45,"Mid Career","Senior")))</f>
        <v>Mid Career</v>
      </c>
      <c r="AK656" t="str">
        <f>IF(Table1[[#This Row],[MonthlyIncome]]&lt;3000,"Low",IF(Table1[[#This Row],[MonthlyIncome]]&lt;7000,"Medium","High"))</f>
        <v>Medium</v>
      </c>
      <c r="AL65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57" spans="1:38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tr">
        <f>IF(Table1[[#This Row],[Age]]&lt;=25,"Young",IF(Table1[[#This Row],[Age]]&lt;=35,"Early Career",IF(Table1[[#This Row],[Age]]&lt;=45,"Mid Career","Senior")))</f>
        <v>Early Career</v>
      </c>
      <c r="AK657" t="str">
        <f>IF(Table1[[#This Row],[MonthlyIncome]]&lt;3000,"Low",IF(Table1[[#This Row],[MonthlyIncome]]&lt;7000,"Medium","High"))</f>
        <v>Low</v>
      </c>
      <c r="AL65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58" spans="1:38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tr">
        <f>IF(Table1[[#This Row],[Age]]&lt;=25,"Young",IF(Table1[[#This Row],[Age]]&lt;=35,"Early Career",IF(Table1[[#This Row],[Age]]&lt;=45,"Mid Career","Senior")))</f>
        <v>Early Career</v>
      </c>
      <c r="AK658" t="str">
        <f>IF(Table1[[#This Row],[MonthlyIncome]]&lt;3000,"Low",IF(Table1[[#This Row],[MonthlyIncome]]&lt;7000,"Medium","High"))</f>
        <v>Low</v>
      </c>
      <c r="AL65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659" spans="1:38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tr">
        <f>IF(Table1[[#This Row],[Age]]&lt;=25,"Young",IF(Table1[[#This Row],[Age]]&lt;=35,"Early Career",IF(Table1[[#This Row],[Age]]&lt;=45,"Mid Career","Senior")))</f>
        <v>Early Career</v>
      </c>
      <c r="AK659" t="str">
        <f>IF(Table1[[#This Row],[MonthlyIncome]]&lt;3000,"Low",IF(Table1[[#This Row],[MonthlyIncome]]&lt;7000,"Medium","High"))</f>
        <v>Low</v>
      </c>
      <c r="AL65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60" spans="1:38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tr">
        <f>IF(Table1[[#This Row],[Age]]&lt;=25,"Young",IF(Table1[[#This Row],[Age]]&lt;=35,"Early Career",IF(Table1[[#This Row],[Age]]&lt;=45,"Mid Career","Senior")))</f>
        <v>Mid Career</v>
      </c>
      <c r="AK660" t="str">
        <f>IF(Table1[[#This Row],[MonthlyIncome]]&lt;3000,"Low",IF(Table1[[#This Row],[MonthlyIncome]]&lt;7000,"Medium","High"))</f>
        <v>Low</v>
      </c>
      <c r="AL66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661" spans="1:38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tr">
        <f>IF(Table1[[#This Row],[Age]]&lt;=25,"Young",IF(Table1[[#This Row],[Age]]&lt;=35,"Early Career",IF(Table1[[#This Row],[Age]]&lt;=45,"Mid Career","Senior")))</f>
        <v>Early Career</v>
      </c>
      <c r="AK661" t="str">
        <f>IF(Table1[[#This Row],[MonthlyIncome]]&lt;3000,"Low",IF(Table1[[#This Row],[MonthlyIncome]]&lt;7000,"Medium","High"))</f>
        <v>Medium</v>
      </c>
      <c r="AL66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62" spans="1:38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tr">
        <f>IF(Table1[[#This Row],[Age]]&lt;=25,"Young",IF(Table1[[#This Row],[Age]]&lt;=35,"Early Career",IF(Table1[[#This Row],[Age]]&lt;=45,"Mid Career","Senior")))</f>
        <v>Senior</v>
      </c>
      <c r="AK662" t="str">
        <f>IF(Table1[[#This Row],[MonthlyIncome]]&lt;3000,"Low",IF(Table1[[#This Row],[MonthlyIncome]]&lt;7000,"Medium","High"))</f>
        <v>Low</v>
      </c>
      <c r="AL66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663" spans="1:38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tr">
        <f>IF(Table1[[#This Row],[Age]]&lt;=25,"Young",IF(Table1[[#This Row],[Age]]&lt;=35,"Early Career",IF(Table1[[#This Row],[Age]]&lt;=45,"Mid Career","Senior")))</f>
        <v>Mid Career</v>
      </c>
      <c r="AK663" t="str">
        <f>IF(Table1[[#This Row],[MonthlyIncome]]&lt;3000,"Low",IF(Table1[[#This Row],[MonthlyIncome]]&lt;7000,"Medium","High"))</f>
        <v>Medium</v>
      </c>
      <c r="AL66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664" spans="1:38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tr">
        <f>IF(Table1[[#This Row],[Age]]&lt;=25,"Young",IF(Table1[[#This Row],[Age]]&lt;=35,"Early Career",IF(Table1[[#This Row],[Age]]&lt;=45,"Mid Career","Senior")))</f>
        <v>Young</v>
      </c>
      <c r="AK664" t="str">
        <f>IF(Table1[[#This Row],[MonthlyIncome]]&lt;3000,"Low",IF(Table1[[#This Row],[MonthlyIncome]]&lt;7000,"Medium","High"))</f>
        <v>Low</v>
      </c>
      <c r="AL66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665" spans="1:38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tr">
        <f>IF(Table1[[#This Row],[Age]]&lt;=25,"Young",IF(Table1[[#This Row],[Age]]&lt;=35,"Early Career",IF(Table1[[#This Row],[Age]]&lt;=45,"Mid Career","Senior")))</f>
        <v>Young</v>
      </c>
      <c r="AK665" t="str">
        <f>IF(Table1[[#This Row],[MonthlyIncome]]&lt;3000,"Low",IF(Table1[[#This Row],[MonthlyIncome]]&lt;7000,"Medium","High"))</f>
        <v>Low</v>
      </c>
      <c r="AL665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666" spans="1:38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tr">
        <f>IF(Table1[[#This Row],[Age]]&lt;=25,"Young",IF(Table1[[#This Row],[Age]]&lt;=35,"Early Career",IF(Table1[[#This Row],[Age]]&lt;=45,"Mid Career","Senior")))</f>
        <v>Mid Career</v>
      </c>
      <c r="AK666" t="str">
        <f>IF(Table1[[#This Row],[MonthlyIncome]]&lt;3000,"Low",IF(Table1[[#This Row],[MonthlyIncome]]&lt;7000,"Medium","High"))</f>
        <v>Medium</v>
      </c>
      <c r="AL666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667" spans="1:38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tr">
        <f>IF(Table1[[#This Row],[Age]]&lt;=25,"Young",IF(Table1[[#This Row],[Age]]&lt;=35,"Early Career",IF(Table1[[#This Row],[Age]]&lt;=45,"Mid Career","Senior")))</f>
        <v>Senior</v>
      </c>
      <c r="AK667" t="str">
        <f>IF(Table1[[#This Row],[MonthlyIncome]]&lt;3000,"Low",IF(Table1[[#This Row],[MonthlyIncome]]&lt;7000,"Medium","High"))</f>
        <v>Medium</v>
      </c>
      <c r="AL66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68" spans="1:38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tr">
        <f>IF(Table1[[#This Row],[Age]]&lt;=25,"Young",IF(Table1[[#This Row],[Age]]&lt;=35,"Early Career",IF(Table1[[#This Row],[Age]]&lt;=45,"Mid Career","Senior")))</f>
        <v>Young</v>
      </c>
      <c r="AK668" t="str">
        <f>IF(Table1[[#This Row],[MonthlyIncome]]&lt;3000,"Low",IF(Table1[[#This Row],[MonthlyIncome]]&lt;7000,"Medium","High"))</f>
        <v>Medium</v>
      </c>
      <c r="AL66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69" spans="1:38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tr">
        <f>IF(Table1[[#This Row],[Age]]&lt;=25,"Young",IF(Table1[[#This Row],[Age]]&lt;=35,"Early Career",IF(Table1[[#This Row],[Age]]&lt;=45,"Mid Career","Senior")))</f>
        <v>Mid Career</v>
      </c>
      <c r="AK669" t="str">
        <f>IF(Table1[[#This Row],[MonthlyIncome]]&lt;3000,"Low",IF(Table1[[#This Row],[MonthlyIncome]]&lt;7000,"Medium","High"))</f>
        <v>Low</v>
      </c>
      <c r="AL669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670" spans="1:38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tr">
        <f>IF(Table1[[#This Row],[Age]]&lt;=25,"Young",IF(Table1[[#This Row],[Age]]&lt;=35,"Early Career",IF(Table1[[#This Row],[Age]]&lt;=45,"Mid Career","Senior")))</f>
        <v>Early Career</v>
      </c>
      <c r="AK670" t="str">
        <f>IF(Table1[[#This Row],[MonthlyIncome]]&lt;3000,"Low",IF(Table1[[#This Row],[MonthlyIncome]]&lt;7000,"Medium","High"))</f>
        <v>Low</v>
      </c>
      <c r="AL67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671" spans="1:38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tr">
        <f>IF(Table1[[#This Row],[Age]]&lt;=25,"Young",IF(Table1[[#This Row],[Age]]&lt;=35,"Early Career",IF(Table1[[#This Row],[Age]]&lt;=45,"Mid Career","Senior")))</f>
        <v>Mid Career</v>
      </c>
      <c r="AK671" t="str">
        <f>IF(Table1[[#This Row],[MonthlyIncome]]&lt;3000,"Low",IF(Table1[[#This Row],[MonthlyIncome]]&lt;7000,"Medium","High"))</f>
        <v>Low</v>
      </c>
      <c r="AL67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672" spans="1:38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tr">
        <f>IF(Table1[[#This Row],[Age]]&lt;=25,"Young",IF(Table1[[#This Row],[Age]]&lt;=35,"Early Career",IF(Table1[[#This Row],[Age]]&lt;=45,"Mid Career","Senior")))</f>
        <v>Early Career</v>
      </c>
      <c r="AK672" t="str">
        <f>IF(Table1[[#This Row],[MonthlyIncome]]&lt;3000,"Low",IF(Table1[[#This Row],[MonthlyIncome]]&lt;7000,"Medium","High"))</f>
        <v>Low</v>
      </c>
      <c r="AL67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673" spans="1:38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tr">
        <f>IF(Table1[[#This Row],[Age]]&lt;=25,"Young",IF(Table1[[#This Row],[Age]]&lt;=35,"Early Career",IF(Table1[[#This Row],[Age]]&lt;=45,"Mid Career","Senior")))</f>
        <v>Early Career</v>
      </c>
      <c r="AK673" t="str">
        <f>IF(Table1[[#This Row],[MonthlyIncome]]&lt;3000,"Low",IF(Table1[[#This Row],[MonthlyIncome]]&lt;7000,"Medium","High"))</f>
        <v>Low</v>
      </c>
      <c r="AL67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674" spans="1:38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tr">
        <f>IF(Table1[[#This Row],[Age]]&lt;=25,"Young",IF(Table1[[#This Row],[Age]]&lt;=35,"Early Career",IF(Table1[[#This Row],[Age]]&lt;=45,"Mid Career","Senior")))</f>
        <v>Mid Career</v>
      </c>
      <c r="AK674" t="str">
        <f>IF(Table1[[#This Row],[MonthlyIncome]]&lt;3000,"Low",IF(Table1[[#This Row],[MonthlyIncome]]&lt;7000,"Medium","High"))</f>
        <v>Medium</v>
      </c>
      <c r="AL67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75" spans="1:38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tr">
        <f>IF(Table1[[#This Row],[Age]]&lt;=25,"Young",IF(Table1[[#This Row],[Age]]&lt;=35,"Early Career",IF(Table1[[#This Row],[Age]]&lt;=45,"Mid Career","Senior")))</f>
        <v>Early Career</v>
      </c>
      <c r="AK675" t="str">
        <f>IF(Table1[[#This Row],[MonthlyIncome]]&lt;3000,"Low",IF(Table1[[#This Row],[MonthlyIncome]]&lt;7000,"Medium","High"))</f>
        <v>Low</v>
      </c>
      <c r="AL67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76" spans="1:38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tr">
        <f>IF(Table1[[#This Row],[Age]]&lt;=25,"Young",IF(Table1[[#This Row],[Age]]&lt;=35,"Early Career",IF(Table1[[#This Row],[Age]]&lt;=45,"Mid Career","Senior")))</f>
        <v>Senior</v>
      </c>
      <c r="AK676" t="str">
        <f>IF(Table1[[#This Row],[MonthlyIncome]]&lt;3000,"Low",IF(Table1[[#This Row],[MonthlyIncome]]&lt;7000,"Medium","High"))</f>
        <v>High</v>
      </c>
      <c r="AL67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677" spans="1:38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tr">
        <f>IF(Table1[[#This Row],[Age]]&lt;=25,"Young",IF(Table1[[#This Row],[Age]]&lt;=35,"Early Career",IF(Table1[[#This Row],[Age]]&lt;=45,"Mid Career","Senior")))</f>
        <v>Early Career</v>
      </c>
      <c r="AK677" t="str">
        <f>IF(Table1[[#This Row],[MonthlyIncome]]&lt;3000,"Low",IF(Table1[[#This Row],[MonthlyIncome]]&lt;7000,"Medium","High"))</f>
        <v>Low</v>
      </c>
      <c r="AL67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678" spans="1:38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tr">
        <f>IF(Table1[[#This Row],[Age]]&lt;=25,"Young",IF(Table1[[#This Row],[Age]]&lt;=35,"Early Career",IF(Table1[[#This Row],[Age]]&lt;=45,"Mid Career","Senior")))</f>
        <v>Early Career</v>
      </c>
      <c r="AK678" t="str">
        <f>IF(Table1[[#This Row],[MonthlyIncome]]&lt;3000,"Low",IF(Table1[[#This Row],[MonthlyIncome]]&lt;7000,"Medium","High"))</f>
        <v>Medium</v>
      </c>
      <c r="AL67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679" spans="1:38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tr">
        <f>IF(Table1[[#This Row],[Age]]&lt;=25,"Young",IF(Table1[[#This Row],[Age]]&lt;=35,"Early Career",IF(Table1[[#This Row],[Age]]&lt;=45,"Mid Career","Senior")))</f>
        <v>Senior</v>
      </c>
      <c r="AK679" t="str">
        <f>IF(Table1[[#This Row],[MonthlyIncome]]&lt;3000,"Low",IF(Table1[[#This Row],[MonthlyIncome]]&lt;7000,"Medium","High"))</f>
        <v>High</v>
      </c>
      <c r="AL679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680" spans="1:38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tr">
        <f>IF(Table1[[#This Row],[Age]]&lt;=25,"Young",IF(Table1[[#This Row],[Age]]&lt;=35,"Early Career",IF(Table1[[#This Row],[Age]]&lt;=45,"Mid Career","Senior")))</f>
        <v>Senior</v>
      </c>
      <c r="AK680" t="str">
        <f>IF(Table1[[#This Row],[MonthlyIncome]]&lt;3000,"Low",IF(Table1[[#This Row],[MonthlyIncome]]&lt;7000,"Medium","High"))</f>
        <v>Low</v>
      </c>
      <c r="AL68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681" spans="1:38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tr">
        <f>IF(Table1[[#This Row],[Age]]&lt;=25,"Young",IF(Table1[[#This Row],[Age]]&lt;=35,"Early Career",IF(Table1[[#This Row],[Age]]&lt;=45,"Mid Career","Senior")))</f>
        <v>Early Career</v>
      </c>
      <c r="AK681" t="str">
        <f>IF(Table1[[#This Row],[MonthlyIncome]]&lt;3000,"Low",IF(Table1[[#This Row],[MonthlyIncome]]&lt;7000,"Medium","High"))</f>
        <v>Medium</v>
      </c>
      <c r="AL68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682" spans="1:38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tr">
        <f>IF(Table1[[#This Row],[Age]]&lt;=25,"Young",IF(Table1[[#This Row],[Age]]&lt;=35,"Early Career",IF(Table1[[#This Row],[Age]]&lt;=45,"Mid Career","Senior")))</f>
        <v>Mid Career</v>
      </c>
      <c r="AK682" t="str">
        <f>IF(Table1[[#This Row],[MonthlyIncome]]&lt;3000,"Low",IF(Table1[[#This Row],[MonthlyIncome]]&lt;7000,"Medium","High"))</f>
        <v>Medium</v>
      </c>
      <c r="AL68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683" spans="1:38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tr">
        <f>IF(Table1[[#This Row],[Age]]&lt;=25,"Young",IF(Table1[[#This Row],[Age]]&lt;=35,"Early Career",IF(Table1[[#This Row],[Age]]&lt;=45,"Mid Career","Senior")))</f>
        <v>Mid Career</v>
      </c>
      <c r="AK683" t="str">
        <f>IF(Table1[[#This Row],[MonthlyIncome]]&lt;3000,"Low",IF(Table1[[#This Row],[MonthlyIncome]]&lt;7000,"Medium","High"))</f>
        <v>High</v>
      </c>
      <c r="AL683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684" spans="1:38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tr">
        <f>IF(Table1[[#This Row],[Age]]&lt;=25,"Young",IF(Table1[[#This Row],[Age]]&lt;=35,"Early Career",IF(Table1[[#This Row],[Age]]&lt;=45,"Mid Career","Senior")))</f>
        <v>Early Career</v>
      </c>
      <c r="AK684" t="str">
        <f>IF(Table1[[#This Row],[MonthlyIncome]]&lt;3000,"Low",IF(Table1[[#This Row],[MonthlyIncome]]&lt;7000,"Medium","High"))</f>
        <v>Low</v>
      </c>
      <c r="AL68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85" spans="1:38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tr">
        <f>IF(Table1[[#This Row],[Age]]&lt;=25,"Young",IF(Table1[[#This Row],[Age]]&lt;=35,"Early Career",IF(Table1[[#This Row],[Age]]&lt;=45,"Mid Career","Senior")))</f>
        <v>Young</v>
      </c>
      <c r="AK685" t="str">
        <f>IF(Table1[[#This Row],[MonthlyIncome]]&lt;3000,"Low",IF(Table1[[#This Row],[MonthlyIncome]]&lt;7000,"Medium","High"))</f>
        <v>Low</v>
      </c>
      <c r="AL685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686" spans="1:38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tr">
        <f>IF(Table1[[#This Row],[Age]]&lt;=25,"Young",IF(Table1[[#This Row],[Age]]&lt;=35,"Early Career",IF(Table1[[#This Row],[Age]]&lt;=45,"Mid Career","Senior")))</f>
        <v>Mid Career</v>
      </c>
      <c r="AK686" t="str">
        <f>IF(Table1[[#This Row],[MonthlyIncome]]&lt;3000,"Low",IF(Table1[[#This Row],[MonthlyIncome]]&lt;7000,"Medium","High"))</f>
        <v>High</v>
      </c>
      <c r="AL686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687" spans="1:38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tr">
        <f>IF(Table1[[#This Row],[Age]]&lt;=25,"Young",IF(Table1[[#This Row],[Age]]&lt;=35,"Early Career",IF(Table1[[#This Row],[Age]]&lt;=45,"Mid Career","Senior")))</f>
        <v>Early Career</v>
      </c>
      <c r="AK687" t="str">
        <f>IF(Table1[[#This Row],[MonthlyIncome]]&lt;3000,"Low",IF(Table1[[#This Row],[MonthlyIncome]]&lt;7000,"Medium","High"))</f>
        <v>Medium</v>
      </c>
      <c r="AL68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688" spans="1:38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tr">
        <f>IF(Table1[[#This Row],[Age]]&lt;=25,"Young",IF(Table1[[#This Row],[Age]]&lt;=35,"Early Career",IF(Table1[[#This Row],[Age]]&lt;=45,"Mid Career","Senior")))</f>
        <v>Mid Career</v>
      </c>
      <c r="AK688" t="str">
        <f>IF(Table1[[#This Row],[MonthlyIncome]]&lt;3000,"Low",IF(Table1[[#This Row],[MonthlyIncome]]&lt;7000,"Medium","High"))</f>
        <v>Medium</v>
      </c>
      <c r="AL688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689" spans="1:38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tr">
        <f>IF(Table1[[#This Row],[Age]]&lt;=25,"Young",IF(Table1[[#This Row],[Age]]&lt;=35,"Early Career",IF(Table1[[#This Row],[Age]]&lt;=45,"Mid Career","Senior")))</f>
        <v>Mid Career</v>
      </c>
      <c r="AK689" t="str">
        <f>IF(Table1[[#This Row],[MonthlyIncome]]&lt;3000,"Low",IF(Table1[[#This Row],[MonthlyIncome]]&lt;7000,"Medium","High"))</f>
        <v>Low</v>
      </c>
      <c r="AL689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690" spans="1:38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tr">
        <f>IF(Table1[[#This Row],[Age]]&lt;=25,"Young",IF(Table1[[#This Row],[Age]]&lt;=35,"Early Career",IF(Table1[[#This Row],[Age]]&lt;=45,"Mid Career","Senior")))</f>
        <v>Young</v>
      </c>
      <c r="AK690" t="str">
        <f>IF(Table1[[#This Row],[MonthlyIncome]]&lt;3000,"Low",IF(Table1[[#This Row],[MonthlyIncome]]&lt;7000,"Medium","High"))</f>
        <v>Low</v>
      </c>
      <c r="AL69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691" spans="1:38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tr">
        <f>IF(Table1[[#This Row],[Age]]&lt;=25,"Young",IF(Table1[[#This Row],[Age]]&lt;=35,"Early Career",IF(Table1[[#This Row],[Age]]&lt;=45,"Mid Career","Senior")))</f>
        <v>Young</v>
      </c>
      <c r="AK691" t="str">
        <f>IF(Table1[[#This Row],[MonthlyIncome]]&lt;3000,"Low",IF(Table1[[#This Row],[MonthlyIncome]]&lt;7000,"Medium","High"))</f>
        <v>Low</v>
      </c>
      <c r="AL69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692" spans="1:38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tr">
        <f>IF(Table1[[#This Row],[Age]]&lt;=25,"Young",IF(Table1[[#This Row],[Age]]&lt;=35,"Early Career",IF(Table1[[#This Row],[Age]]&lt;=45,"Mid Career","Senior")))</f>
        <v>Early Career</v>
      </c>
      <c r="AK692" t="str">
        <f>IF(Table1[[#This Row],[MonthlyIncome]]&lt;3000,"Low",IF(Table1[[#This Row],[MonthlyIncome]]&lt;7000,"Medium","High"))</f>
        <v>Medium</v>
      </c>
      <c r="AL69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693" spans="1:38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tr">
        <f>IF(Table1[[#This Row],[Age]]&lt;=25,"Young",IF(Table1[[#This Row],[Age]]&lt;=35,"Early Career",IF(Table1[[#This Row],[Age]]&lt;=45,"Mid Career","Senior")))</f>
        <v>Mid Career</v>
      </c>
      <c r="AK693" t="str">
        <f>IF(Table1[[#This Row],[MonthlyIncome]]&lt;3000,"Low",IF(Table1[[#This Row],[MonthlyIncome]]&lt;7000,"Medium","High"))</f>
        <v>Medium</v>
      </c>
      <c r="AL69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694" spans="1:38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tr">
        <f>IF(Table1[[#This Row],[Age]]&lt;=25,"Young",IF(Table1[[#This Row],[Age]]&lt;=35,"Early Career",IF(Table1[[#This Row],[Age]]&lt;=45,"Mid Career","Senior")))</f>
        <v>Early Career</v>
      </c>
      <c r="AK694" t="str">
        <f>IF(Table1[[#This Row],[MonthlyIncome]]&lt;3000,"Low",IF(Table1[[#This Row],[MonthlyIncome]]&lt;7000,"Medium","High"))</f>
        <v>Medium</v>
      </c>
      <c r="AL69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695" spans="1:38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tr">
        <f>IF(Table1[[#This Row],[Age]]&lt;=25,"Young",IF(Table1[[#This Row],[Age]]&lt;=35,"Early Career",IF(Table1[[#This Row],[Age]]&lt;=45,"Mid Career","Senior")))</f>
        <v>Mid Career</v>
      </c>
      <c r="AK695" t="str">
        <f>IF(Table1[[#This Row],[MonthlyIncome]]&lt;3000,"Low",IF(Table1[[#This Row],[MonthlyIncome]]&lt;7000,"Medium","High"))</f>
        <v>High</v>
      </c>
      <c r="AL695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696" spans="1:38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tr">
        <f>IF(Table1[[#This Row],[Age]]&lt;=25,"Young",IF(Table1[[#This Row],[Age]]&lt;=35,"Early Career",IF(Table1[[#This Row],[Age]]&lt;=45,"Mid Career","Senior")))</f>
        <v>Early Career</v>
      </c>
      <c r="AK696" t="str">
        <f>IF(Table1[[#This Row],[MonthlyIncome]]&lt;3000,"Low",IF(Table1[[#This Row],[MonthlyIncome]]&lt;7000,"Medium","High"))</f>
        <v>Medium</v>
      </c>
      <c r="AL69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697" spans="1:38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tr">
        <f>IF(Table1[[#This Row],[Age]]&lt;=25,"Young",IF(Table1[[#This Row],[Age]]&lt;=35,"Early Career",IF(Table1[[#This Row],[Age]]&lt;=45,"Mid Career","Senior")))</f>
        <v>Mid Career</v>
      </c>
      <c r="AK697" t="str">
        <f>IF(Table1[[#This Row],[MonthlyIncome]]&lt;3000,"Low",IF(Table1[[#This Row],[MonthlyIncome]]&lt;7000,"Medium","High"))</f>
        <v>High</v>
      </c>
      <c r="AL697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698" spans="1:38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tr">
        <f>IF(Table1[[#This Row],[Age]]&lt;=25,"Young",IF(Table1[[#This Row],[Age]]&lt;=35,"Early Career",IF(Table1[[#This Row],[Age]]&lt;=45,"Mid Career","Senior")))</f>
        <v>Mid Career</v>
      </c>
      <c r="AK698" t="str">
        <f>IF(Table1[[#This Row],[MonthlyIncome]]&lt;3000,"Low",IF(Table1[[#This Row],[MonthlyIncome]]&lt;7000,"Medium","High"))</f>
        <v>Medium</v>
      </c>
      <c r="AL69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699" spans="1:38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tr">
        <f>IF(Table1[[#This Row],[Age]]&lt;=25,"Young",IF(Table1[[#This Row],[Age]]&lt;=35,"Early Career",IF(Table1[[#This Row],[Age]]&lt;=45,"Mid Career","Senior")))</f>
        <v>Early Career</v>
      </c>
      <c r="AK699" t="str">
        <f>IF(Table1[[#This Row],[MonthlyIncome]]&lt;3000,"Low",IF(Table1[[#This Row],[MonthlyIncome]]&lt;7000,"Medium","High"))</f>
        <v>Low</v>
      </c>
      <c r="AL69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700" spans="1:38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tr">
        <f>IF(Table1[[#This Row],[Age]]&lt;=25,"Young",IF(Table1[[#This Row],[Age]]&lt;=35,"Early Career",IF(Table1[[#This Row],[Age]]&lt;=45,"Mid Career","Senior")))</f>
        <v>Early Career</v>
      </c>
      <c r="AK700" t="str">
        <f>IF(Table1[[#This Row],[MonthlyIncome]]&lt;3000,"Low",IF(Table1[[#This Row],[MonthlyIncome]]&lt;7000,"Medium","High"))</f>
        <v>Medium</v>
      </c>
      <c r="AL70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701" spans="1:38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tr">
        <f>IF(Table1[[#This Row],[Age]]&lt;=25,"Young",IF(Table1[[#This Row],[Age]]&lt;=35,"Early Career",IF(Table1[[#This Row],[Age]]&lt;=45,"Mid Career","Senior")))</f>
        <v>Senior</v>
      </c>
      <c r="AK701" t="str">
        <f>IF(Table1[[#This Row],[MonthlyIncome]]&lt;3000,"Low",IF(Table1[[#This Row],[MonthlyIncome]]&lt;7000,"Medium","High"))</f>
        <v>High</v>
      </c>
      <c r="AL70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702" spans="1:38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tr">
        <f>IF(Table1[[#This Row],[Age]]&lt;=25,"Young",IF(Table1[[#This Row],[Age]]&lt;=35,"Early Career",IF(Table1[[#This Row],[Age]]&lt;=45,"Mid Career","Senior")))</f>
        <v>Senior</v>
      </c>
      <c r="AK702" t="str">
        <f>IF(Table1[[#This Row],[MonthlyIncome]]&lt;3000,"Low",IF(Table1[[#This Row],[MonthlyIncome]]&lt;7000,"Medium","High"))</f>
        <v>Low</v>
      </c>
      <c r="AL70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703" spans="1:38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tr">
        <f>IF(Table1[[#This Row],[Age]]&lt;=25,"Young",IF(Table1[[#This Row],[Age]]&lt;=35,"Early Career",IF(Table1[[#This Row],[Age]]&lt;=45,"Mid Career","Senior")))</f>
        <v>Senior</v>
      </c>
      <c r="AK703" t="str">
        <f>IF(Table1[[#This Row],[MonthlyIncome]]&lt;3000,"Low",IF(Table1[[#This Row],[MonthlyIncome]]&lt;7000,"Medium","High"))</f>
        <v>High</v>
      </c>
      <c r="AL703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704" spans="1:38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tr">
        <f>IF(Table1[[#This Row],[Age]]&lt;=25,"Young",IF(Table1[[#This Row],[Age]]&lt;=35,"Early Career",IF(Table1[[#This Row],[Age]]&lt;=45,"Mid Career","Senior")))</f>
        <v>Early Career</v>
      </c>
      <c r="AK704" t="str">
        <f>IF(Table1[[#This Row],[MonthlyIncome]]&lt;3000,"Low",IF(Table1[[#This Row],[MonthlyIncome]]&lt;7000,"Medium","High"))</f>
        <v>High</v>
      </c>
      <c r="AL70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705" spans="1:38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tr">
        <f>IF(Table1[[#This Row],[Age]]&lt;=25,"Young",IF(Table1[[#This Row],[Age]]&lt;=35,"Early Career",IF(Table1[[#This Row],[Age]]&lt;=45,"Mid Career","Senior")))</f>
        <v>Mid Career</v>
      </c>
      <c r="AK705" t="str">
        <f>IF(Table1[[#This Row],[MonthlyIncome]]&lt;3000,"Low",IF(Table1[[#This Row],[MonthlyIncome]]&lt;7000,"Medium","High"))</f>
        <v>Medium</v>
      </c>
      <c r="AL70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706" spans="1:38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tr">
        <f>IF(Table1[[#This Row],[Age]]&lt;=25,"Young",IF(Table1[[#This Row],[Age]]&lt;=35,"Early Career",IF(Table1[[#This Row],[Age]]&lt;=45,"Mid Career","Senior")))</f>
        <v>Early Career</v>
      </c>
      <c r="AK706" t="str">
        <f>IF(Table1[[#This Row],[MonthlyIncome]]&lt;3000,"Low",IF(Table1[[#This Row],[MonthlyIncome]]&lt;7000,"Medium","High"))</f>
        <v>High</v>
      </c>
      <c r="AL70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707" spans="1:38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tr">
        <f>IF(Table1[[#This Row],[Age]]&lt;=25,"Young",IF(Table1[[#This Row],[Age]]&lt;=35,"Early Career",IF(Table1[[#This Row],[Age]]&lt;=45,"Mid Career","Senior")))</f>
        <v>Mid Career</v>
      </c>
      <c r="AK707" t="str">
        <f>IF(Table1[[#This Row],[MonthlyIncome]]&lt;3000,"Low",IF(Table1[[#This Row],[MonthlyIncome]]&lt;7000,"Medium","High"))</f>
        <v>High</v>
      </c>
      <c r="AL70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708" spans="1:38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tr">
        <f>IF(Table1[[#This Row],[Age]]&lt;=25,"Young",IF(Table1[[#This Row],[Age]]&lt;=35,"Early Career",IF(Table1[[#This Row],[Age]]&lt;=45,"Mid Career","Senior")))</f>
        <v>Mid Career</v>
      </c>
      <c r="AK708" t="str">
        <f>IF(Table1[[#This Row],[MonthlyIncome]]&lt;3000,"Low",IF(Table1[[#This Row],[MonthlyIncome]]&lt;7000,"Medium","High"))</f>
        <v>High</v>
      </c>
      <c r="AL70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709" spans="1:38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tr">
        <f>IF(Table1[[#This Row],[Age]]&lt;=25,"Young",IF(Table1[[#This Row],[Age]]&lt;=35,"Early Career",IF(Table1[[#This Row],[Age]]&lt;=45,"Mid Career","Senior")))</f>
        <v>Senior</v>
      </c>
      <c r="AK709" t="str">
        <f>IF(Table1[[#This Row],[MonthlyIncome]]&lt;3000,"Low",IF(Table1[[#This Row],[MonthlyIncome]]&lt;7000,"Medium","High"))</f>
        <v>Medium</v>
      </c>
      <c r="AL709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710" spans="1:38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tr">
        <f>IF(Table1[[#This Row],[Age]]&lt;=25,"Young",IF(Table1[[#This Row],[Age]]&lt;=35,"Early Career",IF(Table1[[#This Row],[Age]]&lt;=45,"Mid Career","Senior")))</f>
        <v>Mid Career</v>
      </c>
      <c r="AK710" t="str">
        <f>IF(Table1[[#This Row],[MonthlyIncome]]&lt;3000,"Low",IF(Table1[[#This Row],[MonthlyIncome]]&lt;7000,"Medium","High"))</f>
        <v>Medium</v>
      </c>
      <c r="AL71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711" spans="1:38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tr">
        <f>IF(Table1[[#This Row],[Age]]&lt;=25,"Young",IF(Table1[[#This Row],[Age]]&lt;=35,"Early Career",IF(Table1[[#This Row],[Age]]&lt;=45,"Mid Career","Senior")))</f>
        <v>Early Career</v>
      </c>
      <c r="AK711" t="str">
        <f>IF(Table1[[#This Row],[MonthlyIncome]]&lt;3000,"Low",IF(Table1[[#This Row],[MonthlyIncome]]&lt;7000,"Medium","High"))</f>
        <v>Low</v>
      </c>
      <c r="AL71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712" spans="1:38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tr">
        <f>IF(Table1[[#This Row],[Age]]&lt;=25,"Young",IF(Table1[[#This Row],[Age]]&lt;=35,"Early Career",IF(Table1[[#This Row],[Age]]&lt;=45,"Mid Career","Senior")))</f>
        <v>Early Career</v>
      </c>
      <c r="AK712" t="str">
        <f>IF(Table1[[#This Row],[MonthlyIncome]]&lt;3000,"Low",IF(Table1[[#This Row],[MonthlyIncome]]&lt;7000,"Medium","High"))</f>
        <v>High</v>
      </c>
      <c r="AL71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713" spans="1:38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tr">
        <f>IF(Table1[[#This Row],[Age]]&lt;=25,"Young",IF(Table1[[#This Row],[Age]]&lt;=35,"Early Career",IF(Table1[[#This Row],[Age]]&lt;=45,"Mid Career","Senior")))</f>
        <v>Early Career</v>
      </c>
      <c r="AK713" t="str">
        <f>IF(Table1[[#This Row],[MonthlyIncome]]&lt;3000,"Low",IF(Table1[[#This Row],[MonthlyIncome]]&lt;7000,"Medium","High"))</f>
        <v>Low</v>
      </c>
      <c r="AL71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714" spans="1:38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tr">
        <f>IF(Table1[[#This Row],[Age]]&lt;=25,"Young",IF(Table1[[#This Row],[Age]]&lt;=35,"Early Career",IF(Table1[[#This Row],[Age]]&lt;=45,"Mid Career","Senior")))</f>
        <v>Early Career</v>
      </c>
      <c r="AK714" t="str">
        <f>IF(Table1[[#This Row],[MonthlyIncome]]&lt;3000,"Low",IF(Table1[[#This Row],[MonthlyIncome]]&lt;7000,"Medium","High"))</f>
        <v>Medium</v>
      </c>
      <c r="AL71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715" spans="1:38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tr">
        <f>IF(Table1[[#This Row],[Age]]&lt;=25,"Young",IF(Table1[[#This Row],[Age]]&lt;=35,"Early Career",IF(Table1[[#This Row],[Age]]&lt;=45,"Mid Career","Senior")))</f>
        <v>Mid Career</v>
      </c>
      <c r="AK715" t="str">
        <f>IF(Table1[[#This Row],[MonthlyIncome]]&lt;3000,"Low",IF(Table1[[#This Row],[MonthlyIncome]]&lt;7000,"Medium","High"))</f>
        <v>Low</v>
      </c>
      <c r="AL71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716" spans="1:38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tr">
        <f>IF(Table1[[#This Row],[Age]]&lt;=25,"Young",IF(Table1[[#This Row],[Age]]&lt;=35,"Early Career",IF(Table1[[#This Row],[Age]]&lt;=45,"Mid Career","Senior")))</f>
        <v>Senior</v>
      </c>
      <c r="AK716" t="str">
        <f>IF(Table1[[#This Row],[MonthlyIncome]]&lt;3000,"Low",IF(Table1[[#This Row],[MonthlyIncome]]&lt;7000,"Medium","High"))</f>
        <v>High</v>
      </c>
      <c r="AL71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717" spans="1:38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tr">
        <f>IF(Table1[[#This Row],[Age]]&lt;=25,"Young",IF(Table1[[#This Row],[Age]]&lt;=35,"Early Career",IF(Table1[[#This Row],[Age]]&lt;=45,"Mid Career","Senior")))</f>
        <v>Early Career</v>
      </c>
      <c r="AK717" t="str">
        <f>IF(Table1[[#This Row],[MonthlyIncome]]&lt;3000,"Low",IF(Table1[[#This Row],[MonthlyIncome]]&lt;7000,"Medium","High"))</f>
        <v>Medium</v>
      </c>
      <c r="AL71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718" spans="1:38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tr">
        <f>IF(Table1[[#This Row],[Age]]&lt;=25,"Young",IF(Table1[[#This Row],[Age]]&lt;=35,"Early Career",IF(Table1[[#This Row],[Age]]&lt;=45,"Mid Career","Senior")))</f>
        <v>Mid Career</v>
      </c>
      <c r="AK718" t="str">
        <f>IF(Table1[[#This Row],[MonthlyIncome]]&lt;3000,"Low",IF(Table1[[#This Row],[MonthlyIncome]]&lt;7000,"Medium","High"))</f>
        <v>High</v>
      </c>
      <c r="AL718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719" spans="1:38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tr">
        <f>IF(Table1[[#This Row],[Age]]&lt;=25,"Young",IF(Table1[[#This Row],[Age]]&lt;=35,"Early Career",IF(Table1[[#This Row],[Age]]&lt;=45,"Mid Career","Senior")))</f>
        <v>Early Career</v>
      </c>
      <c r="AK719" t="str">
        <f>IF(Table1[[#This Row],[MonthlyIncome]]&lt;3000,"Low",IF(Table1[[#This Row],[MonthlyIncome]]&lt;7000,"Medium","High"))</f>
        <v>Low</v>
      </c>
      <c r="AL71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720" spans="1:38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tr">
        <f>IF(Table1[[#This Row],[Age]]&lt;=25,"Young",IF(Table1[[#This Row],[Age]]&lt;=35,"Early Career",IF(Table1[[#This Row],[Age]]&lt;=45,"Mid Career","Senior")))</f>
        <v>Mid Career</v>
      </c>
      <c r="AK720" t="str">
        <f>IF(Table1[[#This Row],[MonthlyIncome]]&lt;3000,"Low",IF(Table1[[#This Row],[MonthlyIncome]]&lt;7000,"Medium","High"))</f>
        <v>Medium</v>
      </c>
      <c r="AL72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721" spans="1:38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tr">
        <f>IF(Table1[[#This Row],[Age]]&lt;=25,"Young",IF(Table1[[#This Row],[Age]]&lt;=35,"Early Career",IF(Table1[[#This Row],[Age]]&lt;=45,"Mid Career","Senior")))</f>
        <v>Senior</v>
      </c>
      <c r="AK721" t="str">
        <f>IF(Table1[[#This Row],[MonthlyIncome]]&lt;3000,"Low",IF(Table1[[#This Row],[MonthlyIncome]]&lt;7000,"Medium","High"))</f>
        <v>Medium</v>
      </c>
      <c r="AL72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722" spans="1:38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tr">
        <f>IF(Table1[[#This Row],[Age]]&lt;=25,"Young",IF(Table1[[#This Row],[Age]]&lt;=35,"Early Career",IF(Table1[[#This Row],[Age]]&lt;=45,"Mid Career","Senior")))</f>
        <v>Early Career</v>
      </c>
      <c r="AK722" t="str">
        <f>IF(Table1[[#This Row],[MonthlyIncome]]&lt;3000,"Low",IF(Table1[[#This Row],[MonthlyIncome]]&lt;7000,"Medium","High"))</f>
        <v>Low</v>
      </c>
      <c r="AL72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723" spans="1:38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tr">
        <f>IF(Table1[[#This Row],[Age]]&lt;=25,"Young",IF(Table1[[#This Row],[Age]]&lt;=35,"Early Career",IF(Table1[[#This Row],[Age]]&lt;=45,"Mid Career","Senior")))</f>
        <v>Senior</v>
      </c>
      <c r="AK723" t="str">
        <f>IF(Table1[[#This Row],[MonthlyIncome]]&lt;3000,"Low",IF(Table1[[#This Row],[MonthlyIncome]]&lt;7000,"Medium","High"))</f>
        <v>High</v>
      </c>
      <c r="AL723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724" spans="1:38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tr">
        <f>IF(Table1[[#This Row],[Age]]&lt;=25,"Young",IF(Table1[[#This Row],[Age]]&lt;=35,"Early Career",IF(Table1[[#This Row],[Age]]&lt;=45,"Mid Career","Senior")))</f>
        <v>Mid Career</v>
      </c>
      <c r="AK724" t="str">
        <f>IF(Table1[[#This Row],[MonthlyIncome]]&lt;3000,"Low",IF(Table1[[#This Row],[MonthlyIncome]]&lt;7000,"Medium","High"))</f>
        <v>Low</v>
      </c>
      <c r="AL72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725" spans="1:38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tr">
        <f>IF(Table1[[#This Row],[Age]]&lt;=25,"Young",IF(Table1[[#This Row],[Age]]&lt;=35,"Early Career",IF(Table1[[#This Row],[Age]]&lt;=45,"Mid Career","Senior")))</f>
        <v>Senior</v>
      </c>
      <c r="AK725" t="str">
        <f>IF(Table1[[#This Row],[MonthlyIncome]]&lt;3000,"Low",IF(Table1[[#This Row],[MonthlyIncome]]&lt;7000,"Medium","High"))</f>
        <v>High</v>
      </c>
      <c r="AL72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726" spans="1:38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tr">
        <f>IF(Table1[[#This Row],[Age]]&lt;=25,"Young",IF(Table1[[#This Row],[Age]]&lt;=35,"Early Career",IF(Table1[[#This Row],[Age]]&lt;=45,"Mid Career","Senior")))</f>
        <v>Young</v>
      </c>
      <c r="AK726" t="str">
        <f>IF(Table1[[#This Row],[MonthlyIncome]]&lt;3000,"Low",IF(Table1[[#This Row],[MonthlyIncome]]&lt;7000,"Medium","High"))</f>
        <v>Medium</v>
      </c>
      <c r="AL72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727" spans="1:38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tr">
        <f>IF(Table1[[#This Row],[Age]]&lt;=25,"Young",IF(Table1[[#This Row],[Age]]&lt;=35,"Early Career",IF(Table1[[#This Row],[Age]]&lt;=45,"Mid Career","Senior")))</f>
        <v>Early Career</v>
      </c>
      <c r="AK727" t="str">
        <f>IF(Table1[[#This Row],[MonthlyIncome]]&lt;3000,"Low",IF(Table1[[#This Row],[MonthlyIncome]]&lt;7000,"Medium","High"))</f>
        <v>Medium</v>
      </c>
      <c r="AL72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728" spans="1:38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tr">
        <f>IF(Table1[[#This Row],[Age]]&lt;=25,"Young",IF(Table1[[#This Row],[Age]]&lt;=35,"Early Career",IF(Table1[[#This Row],[Age]]&lt;=45,"Mid Career","Senior")))</f>
        <v>Early Career</v>
      </c>
      <c r="AK728" t="str">
        <f>IF(Table1[[#This Row],[MonthlyIncome]]&lt;3000,"Low",IF(Table1[[#This Row],[MonthlyIncome]]&lt;7000,"Medium","High"))</f>
        <v>Medium</v>
      </c>
      <c r="AL72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729" spans="1:38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tr">
        <f>IF(Table1[[#This Row],[Age]]&lt;=25,"Young",IF(Table1[[#This Row],[Age]]&lt;=35,"Early Career",IF(Table1[[#This Row],[Age]]&lt;=45,"Mid Career","Senior")))</f>
        <v>Young</v>
      </c>
      <c r="AK729" t="str">
        <f>IF(Table1[[#This Row],[MonthlyIncome]]&lt;3000,"Low",IF(Table1[[#This Row],[MonthlyIncome]]&lt;7000,"Medium","High"))</f>
        <v>Low</v>
      </c>
      <c r="AL72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730" spans="1:38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tr">
        <f>IF(Table1[[#This Row],[Age]]&lt;=25,"Young",IF(Table1[[#This Row],[Age]]&lt;=35,"Early Career",IF(Table1[[#This Row],[Age]]&lt;=45,"Mid Career","Senior")))</f>
        <v>Senior</v>
      </c>
      <c r="AK730" t="str">
        <f>IF(Table1[[#This Row],[MonthlyIncome]]&lt;3000,"Low",IF(Table1[[#This Row],[MonthlyIncome]]&lt;7000,"Medium","High"))</f>
        <v>High</v>
      </c>
      <c r="AL73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731" spans="1:38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tr">
        <f>IF(Table1[[#This Row],[Age]]&lt;=25,"Young",IF(Table1[[#This Row],[Age]]&lt;=35,"Early Career",IF(Table1[[#This Row],[Age]]&lt;=45,"Mid Career","Senior")))</f>
        <v>Early Career</v>
      </c>
      <c r="AK731" t="str">
        <f>IF(Table1[[#This Row],[MonthlyIncome]]&lt;3000,"Low",IF(Table1[[#This Row],[MonthlyIncome]]&lt;7000,"Medium","High"))</f>
        <v>High</v>
      </c>
      <c r="AL731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732" spans="1:38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tr">
        <f>IF(Table1[[#This Row],[Age]]&lt;=25,"Young",IF(Table1[[#This Row],[Age]]&lt;=35,"Early Career",IF(Table1[[#This Row],[Age]]&lt;=45,"Mid Career","Senior")))</f>
        <v>Early Career</v>
      </c>
      <c r="AK732" t="str">
        <f>IF(Table1[[#This Row],[MonthlyIncome]]&lt;3000,"Low",IF(Table1[[#This Row],[MonthlyIncome]]&lt;7000,"Medium","High"))</f>
        <v>High</v>
      </c>
      <c r="AL73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733" spans="1:38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tr">
        <f>IF(Table1[[#This Row],[Age]]&lt;=25,"Young",IF(Table1[[#This Row],[Age]]&lt;=35,"Early Career",IF(Table1[[#This Row],[Age]]&lt;=45,"Mid Career","Senior")))</f>
        <v>Young</v>
      </c>
      <c r="AK733" t="str">
        <f>IF(Table1[[#This Row],[MonthlyIncome]]&lt;3000,"Low",IF(Table1[[#This Row],[MonthlyIncome]]&lt;7000,"Medium","High"))</f>
        <v>Low</v>
      </c>
      <c r="AL73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734" spans="1:38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tr">
        <f>IF(Table1[[#This Row],[Age]]&lt;=25,"Young",IF(Table1[[#This Row],[Age]]&lt;=35,"Early Career",IF(Table1[[#This Row],[Age]]&lt;=45,"Mid Career","Senior")))</f>
        <v>Early Career</v>
      </c>
      <c r="AK734" t="str">
        <f>IF(Table1[[#This Row],[MonthlyIncome]]&lt;3000,"Low",IF(Table1[[#This Row],[MonthlyIncome]]&lt;7000,"Medium","High"))</f>
        <v>Low</v>
      </c>
      <c r="AL73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735" spans="1:38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tr">
        <f>IF(Table1[[#This Row],[Age]]&lt;=25,"Young",IF(Table1[[#This Row],[Age]]&lt;=35,"Early Career",IF(Table1[[#This Row],[Age]]&lt;=45,"Mid Career","Senior")))</f>
        <v>Early Career</v>
      </c>
      <c r="AK735" t="str">
        <f>IF(Table1[[#This Row],[MonthlyIncome]]&lt;3000,"Low",IF(Table1[[#This Row],[MonthlyIncome]]&lt;7000,"Medium","High"))</f>
        <v>Medium</v>
      </c>
      <c r="AL73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736" spans="1:38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tr">
        <f>IF(Table1[[#This Row],[Age]]&lt;=25,"Young",IF(Table1[[#This Row],[Age]]&lt;=35,"Early Career",IF(Table1[[#This Row],[Age]]&lt;=45,"Mid Career","Senior")))</f>
        <v>Young</v>
      </c>
      <c r="AK736" t="str">
        <f>IF(Table1[[#This Row],[MonthlyIncome]]&lt;3000,"Low",IF(Table1[[#This Row],[MonthlyIncome]]&lt;7000,"Medium","High"))</f>
        <v>Low</v>
      </c>
      <c r="AL73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737" spans="1:38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tr">
        <f>IF(Table1[[#This Row],[Age]]&lt;=25,"Young",IF(Table1[[#This Row],[Age]]&lt;=35,"Early Career",IF(Table1[[#This Row],[Age]]&lt;=45,"Mid Career","Senior")))</f>
        <v>Senior</v>
      </c>
      <c r="AK737" t="str">
        <f>IF(Table1[[#This Row],[MonthlyIncome]]&lt;3000,"Low",IF(Table1[[#This Row],[MonthlyIncome]]&lt;7000,"Medium","High"))</f>
        <v>Medium</v>
      </c>
      <c r="AL73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738" spans="1:38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tr">
        <f>IF(Table1[[#This Row],[Age]]&lt;=25,"Young",IF(Table1[[#This Row],[Age]]&lt;=35,"Early Career",IF(Table1[[#This Row],[Age]]&lt;=45,"Mid Career","Senior")))</f>
        <v>Senior</v>
      </c>
      <c r="AK738" t="str">
        <f>IF(Table1[[#This Row],[MonthlyIncome]]&lt;3000,"Low",IF(Table1[[#This Row],[MonthlyIncome]]&lt;7000,"Medium","High"))</f>
        <v>High</v>
      </c>
      <c r="AL738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739" spans="1:38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tr">
        <f>IF(Table1[[#This Row],[Age]]&lt;=25,"Young",IF(Table1[[#This Row],[Age]]&lt;=35,"Early Career",IF(Table1[[#This Row],[Age]]&lt;=45,"Mid Career","Senior")))</f>
        <v>Mid Career</v>
      </c>
      <c r="AK739" t="str">
        <f>IF(Table1[[#This Row],[MonthlyIncome]]&lt;3000,"Low",IF(Table1[[#This Row],[MonthlyIncome]]&lt;7000,"Medium","High"))</f>
        <v>Medium</v>
      </c>
      <c r="AL73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740" spans="1:38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tr">
        <f>IF(Table1[[#This Row],[Age]]&lt;=25,"Young",IF(Table1[[#This Row],[Age]]&lt;=35,"Early Career",IF(Table1[[#This Row],[Age]]&lt;=45,"Mid Career","Senior")))</f>
        <v>Mid Career</v>
      </c>
      <c r="AK740" t="str">
        <f>IF(Table1[[#This Row],[MonthlyIncome]]&lt;3000,"Low",IF(Table1[[#This Row],[MonthlyIncome]]&lt;7000,"Medium","High"))</f>
        <v>High</v>
      </c>
      <c r="AL740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741" spans="1:38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tr">
        <f>IF(Table1[[#This Row],[Age]]&lt;=25,"Young",IF(Table1[[#This Row],[Age]]&lt;=35,"Early Career",IF(Table1[[#This Row],[Age]]&lt;=45,"Mid Career","Senior")))</f>
        <v>Early Career</v>
      </c>
      <c r="AK741" t="str">
        <f>IF(Table1[[#This Row],[MonthlyIncome]]&lt;3000,"Low",IF(Table1[[#This Row],[MonthlyIncome]]&lt;7000,"Medium","High"))</f>
        <v>Medium</v>
      </c>
      <c r="AL74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742" spans="1:38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tr">
        <f>IF(Table1[[#This Row],[Age]]&lt;=25,"Young",IF(Table1[[#This Row],[Age]]&lt;=35,"Early Career",IF(Table1[[#This Row],[Age]]&lt;=45,"Mid Career","Senior")))</f>
        <v>Early Career</v>
      </c>
      <c r="AK742" t="str">
        <f>IF(Table1[[#This Row],[MonthlyIncome]]&lt;3000,"Low",IF(Table1[[#This Row],[MonthlyIncome]]&lt;7000,"Medium","High"))</f>
        <v>Medium</v>
      </c>
      <c r="AL74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743" spans="1:38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tr">
        <f>IF(Table1[[#This Row],[Age]]&lt;=25,"Young",IF(Table1[[#This Row],[Age]]&lt;=35,"Early Career",IF(Table1[[#This Row],[Age]]&lt;=45,"Mid Career","Senior")))</f>
        <v>Mid Career</v>
      </c>
      <c r="AK743" t="str">
        <f>IF(Table1[[#This Row],[MonthlyIncome]]&lt;3000,"Low",IF(Table1[[#This Row],[MonthlyIncome]]&lt;7000,"Medium","High"))</f>
        <v>High</v>
      </c>
      <c r="AL74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744" spans="1:38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tr">
        <f>IF(Table1[[#This Row],[Age]]&lt;=25,"Young",IF(Table1[[#This Row],[Age]]&lt;=35,"Early Career",IF(Table1[[#This Row],[Age]]&lt;=45,"Mid Career","Senior")))</f>
        <v>Senior</v>
      </c>
      <c r="AK744" t="str">
        <f>IF(Table1[[#This Row],[MonthlyIncome]]&lt;3000,"Low",IF(Table1[[#This Row],[MonthlyIncome]]&lt;7000,"Medium","High"))</f>
        <v>Low</v>
      </c>
      <c r="AL74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745" spans="1:38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tr">
        <f>IF(Table1[[#This Row],[Age]]&lt;=25,"Young",IF(Table1[[#This Row],[Age]]&lt;=35,"Early Career",IF(Table1[[#This Row],[Age]]&lt;=45,"Mid Career","Senior")))</f>
        <v>Senior</v>
      </c>
      <c r="AK745" t="str">
        <f>IF(Table1[[#This Row],[MonthlyIncome]]&lt;3000,"Low",IF(Table1[[#This Row],[MonthlyIncome]]&lt;7000,"Medium","High"))</f>
        <v>High</v>
      </c>
      <c r="AL74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746" spans="1:38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tr">
        <f>IF(Table1[[#This Row],[Age]]&lt;=25,"Young",IF(Table1[[#This Row],[Age]]&lt;=35,"Early Career",IF(Table1[[#This Row],[Age]]&lt;=45,"Mid Career","Senior")))</f>
        <v>Mid Career</v>
      </c>
      <c r="AK746" t="str">
        <f>IF(Table1[[#This Row],[MonthlyIncome]]&lt;3000,"Low",IF(Table1[[#This Row],[MonthlyIncome]]&lt;7000,"Medium","High"))</f>
        <v>Medium</v>
      </c>
      <c r="AL746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747" spans="1:38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tr">
        <f>IF(Table1[[#This Row],[Age]]&lt;=25,"Young",IF(Table1[[#This Row],[Age]]&lt;=35,"Early Career",IF(Table1[[#This Row],[Age]]&lt;=45,"Mid Career","Senior")))</f>
        <v>Senior</v>
      </c>
      <c r="AK747" t="str">
        <f>IF(Table1[[#This Row],[MonthlyIncome]]&lt;3000,"Low",IF(Table1[[#This Row],[MonthlyIncome]]&lt;7000,"Medium","High"))</f>
        <v>Medium</v>
      </c>
      <c r="AL74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748" spans="1:38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tr">
        <f>IF(Table1[[#This Row],[Age]]&lt;=25,"Young",IF(Table1[[#This Row],[Age]]&lt;=35,"Early Career",IF(Table1[[#This Row],[Age]]&lt;=45,"Mid Career","Senior")))</f>
        <v>Mid Career</v>
      </c>
      <c r="AK748" t="str">
        <f>IF(Table1[[#This Row],[MonthlyIncome]]&lt;3000,"Low",IF(Table1[[#This Row],[MonthlyIncome]]&lt;7000,"Medium","High"))</f>
        <v>High</v>
      </c>
      <c r="AL748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749" spans="1:38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tr">
        <f>IF(Table1[[#This Row],[Age]]&lt;=25,"Young",IF(Table1[[#This Row],[Age]]&lt;=35,"Early Career",IF(Table1[[#This Row],[Age]]&lt;=45,"Mid Career","Senior")))</f>
        <v>Mid Career</v>
      </c>
      <c r="AK749" t="str">
        <f>IF(Table1[[#This Row],[MonthlyIncome]]&lt;3000,"Low",IF(Table1[[#This Row],[MonthlyIncome]]&lt;7000,"Medium","High"))</f>
        <v>Medium</v>
      </c>
      <c r="AL74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750" spans="1:38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tr">
        <f>IF(Table1[[#This Row],[Age]]&lt;=25,"Young",IF(Table1[[#This Row],[Age]]&lt;=35,"Early Career",IF(Table1[[#This Row],[Age]]&lt;=45,"Mid Career","Senior")))</f>
        <v>Early Career</v>
      </c>
      <c r="AK750" t="str">
        <f>IF(Table1[[#This Row],[MonthlyIncome]]&lt;3000,"Low",IF(Table1[[#This Row],[MonthlyIncome]]&lt;7000,"Medium","High"))</f>
        <v>Medium</v>
      </c>
      <c r="AL75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751" spans="1:38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tr">
        <f>IF(Table1[[#This Row],[Age]]&lt;=25,"Young",IF(Table1[[#This Row],[Age]]&lt;=35,"Early Career",IF(Table1[[#This Row],[Age]]&lt;=45,"Mid Career","Senior")))</f>
        <v>Senior</v>
      </c>
      <c r="AK751" t="str">
        <f>IF(Table1[[#This Row],[MonthlyIncome]]&lt;3000,"Low",IF(Table1[[#This Row],[MonthlyIncome]]&lt;7000,"Medium","High"))</f>
        <v>High</v>
      </c>
      <c r="AL751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752" spans="1:38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tr">
        <f>IF(Table1[[#This Row],[Age]]&lt;=25,"Young",IF(Table1[[#This Row],[Age]]&lt;=35,"Early Career",IF(Table1[[#This Row],[Age]]&lt;=45,"Mid Career","Senior")))</f>
        <v>Mid Career</v>
      </c>
      <c r="AK752" t="str">
        <f>IF(Table1[[#This Row],[MonthlyIncome]]&lt;3000,"Low",IF(Table1[[#This Row],[MonthlyIncome]]&lt;7000,"Medium","High"))</f>
        <v>High</v>
      </c>
      <c r="AL752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753" spans="1:38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tr">
        <f>IF(Table1[[#This Row],[Age]]&lt;=25,"Young",IF(Table1[[#This Row],[Age]]&lt;=35,"Early Career",IF(Table1[[#This Row],[Age]]&lt;=45,"Mid Career","Senior")))</f>
        <v>Senior</v>
      </c>
      <c r="AK753" t="str">
        <f>IF(Table1[[#This Row],[MonthlyIncome]]&lt;3000,"Low",IF(Table1[[#This Row],[MonthlyIncome]]&lt;7000,"Medium","High"))</f>
        <v>Medium</v>
      </c>
      <c r="AL753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754" spans="1:38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tr">
        <f>IF(Table1[[#This Row],[Age]]&lt;=25,"Young",IF(Table1[[#This Row],[Age]]&lt;=35,"Early Career",IF(Table1[[#This Row],[Age]]&lt;=45,"Mid Career","Senior")))</f>
        <v>Mid Career</v>
      </c>
      <c r="AK754" t="str">
        <f>IF(Table1[[#This Row],[MonthlyIncome]]&lt;3000,"Low",IF(Table1[[#This Row],[MonthlyIncome]]&lt;7000,"Medium","High"))</f>
        <v>Low</v>
      </c>
      <c r="AL754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755" spans="1:38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tr">
        <f>IF(Table1[[#This Row],[Age]]&lt;=25,"Young",IF(Table1[[#This Row],[Age]]&lt;=35,"Early Career",IF(Table1[[#This Row],[Age]]&lt;=45,"Mid Career","Senior")))</f>
        <v>Mid Career</v>
      </c>
      <c r="AK755" t="str">
        <f>IF(Table1[[#This Row],[MonthlyIncome]]&lt;3000,"Low",IF(Table1[[#This Row],[MonthlyIncome]]&lt;7000,"Medium","High"))</f>
        <v>High</v>
      </c>
      <c r="AL755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756" spans="1:38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tr">
        <f>IF(Table1[[#This Row],[Age]]&lt;=25,"Young",IF(Table1[[#This Row],[Age]]&lt;=35,"Early Career",IF(Table1[[#This Row],[Age]]&lt;=45,"Mid Career","Senior")))</f>
        <v>Early Career</v>
      </c>
      <c r="AK756" t="str">
        <f>IF(Table1[[#This Row],[MonthlyIncome]]&lt;3000,"Low",IF(Table1[[#This Row],[MonthlyIncome]]&lt;7000,"Medium","High"))</f>
        <v>Low</v>
      </c>
      <c r="AL756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757" spans="1:38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tr">
        <f>IF(Table1[[#This Row],[Age]]&lt;=25,"Young",IF(Table1[[#This Row],[Age]]&lt;=35,"Early Career",IF(Table1[[#This Row],[Age]]&lt;=45,"Mid Career","Senior")))</f>
        <v>Mid Career</v>
      </c>
      <c r="AK757" t="str">
        <f>IF(Table1[[#This Row],[MonthlyIncome]]&lt;3000,"Low",IF(Table1[[#This Row],[MonthlyIncome]]&lt;7000,"Medium","High"))</f>
        <v>High</v>
      </c>
      <c r="AL75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758" spans="1:38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tr">
        <f>IF(Table1[[#This Row],[Age]]&lt;=25,"Young",IF(Table1[[#This Row],[Age]]&lt;=35,"Early Career",IF(Table1[[#This Row],[Age]]&lt;=45,"Mid Career","Senior")))</f>
        <v>Early Career</v>
      </c>
      <c r="AK758" t="str">
        <f>IF(Table1[[#This Row],[MonthlyIncome]]&lt;3000,"Low",IF(Table1[[#This Row],[MonthlyIncome]]&lt;7000,"Medium","High"))</f>
        <v>Medium</v>
      </c>
      <c r="AL75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759" spans="1:38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tr">
        <f>IF(Table1[[#This Row],[Age]]&lt;=25,"Young",IF(Table1[[#This Row],[Age]]&lt;=35,"Early Career",IF(Table1[[#This Row],[Age]]&lt;=45,"Mid Career","Senior")))</f>
        <v>Early Career</v>
      </c>
      <c r="AK759" t="str">
        <f>IF(Table1[[#This Row],[MonthlyIncome]]&lt;3000,"Low",IF(Table1[[#This Row],[MonthlyIncome]]&lt;7000,"Medium","High"))</f>
        <v>High</v>
      </c>
      <c r="AL759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760" spans="1:38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tr">
        <f>IF(Table1[[#This Row],[Age]]&lt;=25,"Young",IF(Table1[[#This Row],[Age]]&lt;=35,"Early Career",IF(Table1[[#This Row],[Age]]&lt;=45,"Mid Career","Senior")))</f>
        <v>Senior</v>
      </c>
      <c r="AK760" t="str">
        <f>IF(Table1[[#This Row],[MonthlyIncome]]&lt;3000,"Low",IF(Table1[[#This Row],[MonthlyIncome]]&lt;7000,"Medium","High"))</f>
        <v>High</v>
      </c>
      <c r="AL76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761" spans="1:38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tr">
        <f>IF(Table1[[#This Row],[Age]]&lt;=25,"Young",IF(Table1[[#This Row],[Age]]&lt;=35,"Early Career",IF(Table1[[#This Row],[Age]]&lt;=45,"Mid Career","Senior")))</f>
        <v>Mid Career</v>
      </c>
      <c r="AK761" t="str">
        <f>IF(Table1[[#This Row],[MonthlyIncome]]&lt;3000,"Low",IF(Table1[[#This Row],[MonthlyIncome]]&lt;7000,"Medium","High"))</f>
        <v>Low</v>
      </c>
      <c r="AL76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762" spans="1:38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tr">
        <f>IF(Table1[[#This Row],[Age]]&lt;=25,"Young",IF(Table1[[#This Row],[Age]]&lt;=35,"Early Career",IF(Table1[[#This Row],[Age]]&lt;=45,"Mid Career","Senior")))</f>
        <v>Senior</v>
      </c>
      <c r="AK762" t="str">
        <f>IF(Table1[[#This Row],[MonthlyIncome]]&lt;3000,"Low",IF(Table1[[#This Row],[MonthlyIncome]]&lt;7000,"Medium","High"))</f>
        <v>High</v>
      </c>
      <c r="AL762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763" spans="1:38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tr">
        <f>IF(Table1[[#This Row],[Age]]&lt;=25,"Young",IF(Table1[[#This Row],[Age]]&lt;=35,"Early Career",IF(Table1[[#This Row],[Age]]&lt;=45,"Mid Career","Senior")))</f>
        <v>Mid Career</v>
      </c>
      <c r="AK763" t="str">
        <f>IF(Table1[[#This Row],[MonthlyIncome]]&lt;3000,"Low",IF(Table1[[#This Row],[MonthlyIncome]]&lt;7000,"Medium","High"))</f>
        <v>Medium</v>
      </c>
      <c r="AL76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764" spans="1:38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tr">
        <f>IF(Table1[[#This Row],[Age]]&lt;=25,"Young",IF(Table1[[#This Row],[Age]]&lt;=35,"Early Career",IF(Table1[[#This Row],[Age]]&lt;=45,"Mid Career","Senior")))</f>
        <v>Early Career</v>
      </c>
      <c r="AK764" t="str">
        <f>IF(Table1[[#This Row],[MonthlyIncome]]&lt;3000,"Low",IF(Table1[[#This Row],[MonthlyIncome]]&lt;7000,"Medium","High"))</f>
        <v>Low</v>
      </c>
      <c r="AL76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765" spans="1:38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tr">
        <f>IF(Table1[[#This Row],[Age]]&lt;=25,"Young",IF(Table1[[#This Row],[Age]]&lt;=35,"Early Career",IF(Table1[[#This Row],[Age]]&lt;=45,"Mid Career","Senior")))</f>
        <v>Early Career</v>
      </c>
      <c r="AK765" t="str">
        <f>IF(Table1[[#This Row],[MonthlyIncome]]&lt;3000,"Low",IF(Table1[[#This Row],[MonthlyIncome]]&lt;7000,"Medium","High"))</f>
        <v>Low</v>
      </c>
      <c r="AL765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766" spans="1:38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tr">
        <f>IF(Table1[[#This Row],[Age]]&lt;=25,"Young",IF(Table1[[#This Row],[Age]]&lt;=35,"Early Career",IF(Table1[[#This Row],[Age]]&lt;=45,"Mid Career","Senior")))</f>
        <v>Early Career</v>
      </c>
      <c r="AK766" t="str">
        <f>IF(Table1[[#This Row],[MonthlyIncome]]&lt;3000,"Low",IF(Table1[[#This Row],[MonthlyIncome]]&lt;7000,"Medium","High"))</f>
        <v>Low</v>
      </c>
      <c r="AL766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767" spans="1:38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tr">
        <f>IF(Table1[[#This Row],[Age]]&lt;=25,"Young",IF(Table1[[#This Row],[Age]]&lt;=35,"Early Career",IF(Table1[[#This Row],[Age]]&lt;=45,"Mid Career","Senior")))</f>
        <v>Mid Career</v>
      </c>
      <c r="AK767" t="str">
        <f>IF(Table1[[#This Row],[MonthlyIncome]]&lt;3000,"Low",IF(Table1[[#This Row],[MonthlyIncome]]&lt;7000,"Medium","High"))</f>
        <v>Low</v>
      </c>
      <c r="AL76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768" spans="1:38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tr">
        <f>IF(Table1[[#This Row],[Age]]&lt;=25,"Young",IF(Table1[[#This Row],[Age]]&lt;=35,"Early Career",IF(Table1[[#This Row],[Age]]&lt;=45,"Mid Career","Senior")))</f>
        <v>Senior</v>
      </c>
      <c r="AK768" t="str">
        <f>IF(Table1[[#This Row],[MonthlyIncome]]&lt;3000,"Low",IF(Table1[[#This Row],[MonthlyIncome]]&lt;7000,"Medium","High"))</f>
        <v>High</v>
      </c>
      <c r="AL76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769" spans="1:38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tr">
        <f>IF(Table1[[#This Row],[Age]]&lt;=25,"Young",IF(Table1[[#This Row],[Age]]&lt;=35,"Early Career",IF(Table1[[#This Row],[Age]]&lt;=45,"Mid Career","Senior")))</f>
        <v>Mid Career</v>
      </c>
      <c r="AK769" t="str">
        <f>IF(Table1[[#This Row],[MonthlyIncome]]&lt;3000,"Low",IF(Table1[[#This Row],[MonthlyIncome]]&lt;7000,"Medium","High"))</f>
        <v>Medium</v>
      </c>
      <c r="AL76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770" spans="1:38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tr">
        <f>IF(Table1[[#This Row],[Age]]&lt;=25,"Young",IF(Table1[[#This Row],[Age]]&lt;=35,"Early Career",IF(Table1[[#This Row],[Age]]&lt;=45,"Mid Career","Senior")))</f>
        <v>Mid Career</v>
      </c>
      <c r="AK770" t="str">
        <f>IF(Table1[[#This Row],[MonthlyIncome]]&lt;3000,"Low",IF(Table1[[#This Row],[MonthlyIncome]]&lt;7000,"Medium","High"))</f>
        <v>High</v>
      </c>
      <c r="AL77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771" spans="1:38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tr">
        <f>IF(Table1[[#This Row],[Age]]&lt;=25,"Young",IF(Table1[[#This Row],[Age]]&lt;=35,"Early Career",IF(Table1[[#This Row],[Age]]&lt;=45,"Mid Career","Senior")))</f>
        <v>Early Career</v>
      </c>
      <c r="AK771" t="str">
        <f>IF(Table1[[#This Row],[MonthlyIncome]]&lt;3000,"Low",IF(Table1[[#This Row],[MonthlyIncome]]&lt;7000,"Medium","High"))</f>
        <v>Low</v>
      </c>
      <c r="AL77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772" spans="1:38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tr">
        <f>IF(Table1[[#This Row],[Age]]&lt;=25,"Young",IF(Table1[[#This Row],[Age]]&lt;=35,"Early Career",IF(Table1[[#This Row],[Age]]&lt;=45,"Mid Career","Senior")))</f>
        <v>Senior</v>
      </c>
      <c r="AK772" t="str">
        <f>IF(Table1[[#This Row],[MonthlyIncome]]&lt;3000,"Low",IF(Table1[[#This Row],[MonthlyIncome]]&lt;7000,"Medium","High"))</f>
        <v>High</v>
      </c>
      <c r="AL77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773" spans="1:38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tr">
        <f>IF(Table1[[#This Row],[Age]]&lt;=25,"Young",IF(Table1[[#This Row],[Age]]&lt;=35,"Early Career",IF(Table1[[#This Row],[Age]]&lt;=45,"Mid Career","Senior")))</f>
        <v>Senior</v>
      </c>
      <c r="AK773" t="str">
        <f>IF(Table1[[#This Row],[MonthlyIncome]]&lt;3000,"Low",IF(Table1[[#This Row],[MonthlyIncome]]&lt;7000,"Medium","High"))</f>
        <v>High</v>
      </c>
      <c r="AL77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774" spans="1:38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tr">
        <f>IF(Table1[[#This Row],[Age]]&lt;=25,"Young",IF(Table1[[#This Row],[Age]]&lt;=35,"Early Career",IF(Table1[[#This Row],[Age]]&lt;=45,"Mid Career","Senior")))</f>
        <v>Senior</v>
      </c>
      <c r="AK774" t="str">
        <f>IF(Table1[[#This Row],[MonthlyIncome]]&lt;3000,"Low",IF(Table1[[#This Row],[MonthlyIncome]]&lt;7000,"Medium","High"))</f>
        <v>Low</v>
      </c>
      <c r="AL77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775" spans="1:38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tr">
        <f>IF(Table1[[#This Row],[Age]]&lt;=25,"Young",IF(Table1[[#This Row],[Age]]&lt;=35,"Early Career",IF(Table1[[#This Row],[Age]]&lt;=45,"Mid Career","Senior")))</f>
        <v>Mid Career</v>
      </c>
      <c r="AK775" t="str">
        <f>IF(Table1[[#This Row],[MonthlyIncome]]&lt;3000,"Low",IF(Table1[[#This Row],[MonthlyIncome]]&lt;7000,"Medium","High"))</f>
        <v>High</v>
      </c>
      <c r="AL775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776" spans="1:38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tr">
        <f>IF(Table1[[#This Row],[Age]]&lt;=25,"Young",IF(Table1[[#This Row],[Age]]&lt;=35,"Early Career",IF(Table1[[#This Row],[Age]]&lt;=45,"Mid Career","Senior")))</f>
        <v>Senior</v>
      </c>
      <c r="AK776" t="str">
        <f>IF(Table1[[#This Row],[MonthlyIncome]]&lt;3000,"Low",IF(Table1[[#This Row],[MonthlyIncome]]&lt;7000,"Medium","High"))</f>
        <v>High</v>
      </c>
      <c r="AL77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777" spans="1:38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tr">
        <f>IF(Table1[[#This Row],[Age]]&lt;=25,"Young",IF(Table1[[#This Row],[Age]]&lt;=35,"Early Career",IF(Table1[[#This Row],[Age]]&lt;=45,"Mid Career","Senior")))</f>
        <v>Mid Career</v>
      </c>
      <c r="AK777" t="str">
        <f>IF(Table1[[#This Row],[MonthlyIncome]]&lt;3000,"Low",IF(Table1[[#This Row],[MonthlyIncome]]&lt;7000,"Medium","High"))</f>
        <v>High</v>
      </c>
      <c r="AL77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778" spans="1:38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tr">
        <f>IF(Table1[[#This Row],[Age]]&lt;=25,"Young",IF(Table1[[#This Row],[Age]]&lt;=35,"Early Career",IF(Table1[[#This Row],[Age]]&lt;=45,"Mid Career","Senior")))</f>
        <v>Young</v>
      </c>
      <c r="AK778" t="str">
        <f>IF(Table1[[#This Row],[MonthlyIncome]]&lt;3000,"Low",IF(Table1[[#This Row],[MonthlyIncome]]&lt;7000,"Medium","High"))</f>
        <v>Low</v>
      </c>
      <c r="AL77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779" spans="1:38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tr">
        <f>IF(Table1[[#This Row],[Age]]&lt;=25,"Young",IF(Table1[[#This Row],[Age]]&lt;=35,"Early Career",IF(Table1[[#This Row],[Age]]&lt;=45,"Mid Career","Senior")))</f>
        <v>Young</v>
      </c>
      <c r="AK779" t="str">
        <f>IF(Table1[[#This Row],[MonthlyIncome]]&lt;3000,"Low",IF(Table1[[#This Row],[MonthlyIncome]]&lt;7000,"Medium","High"))</f>
        <v>Low</v>
      </c>
      <c r="AL77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780" spans="1:38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tr">
        <f>IF(Table1[[#This Row],[Age]]&lt;=25,"Young",IF(Table1[[#This Row],[Age]]&lt;=35,"Early Career",IF(Table1[[#This Row],[Age]]&lt;=45,"Mid Career","Senior")))</f>
        <v>Senior</v>
      </c>
      <c r="AK780" t="str">
        <f>IF(Table1[[#This Row],[MonthlyIncome]]&lt;3000,"Low",IF(Table1[[#This Row],[MonthlyIncome]]&lt;7000,"Medium","High"))</f>
        <v>Medium</v>
      </c>
      <c r="AL780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781" spans="1:38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tr">
        <f>IF(Table1[[#This Row],[Age]]&lt;=25,"Young",IF(Table1[[#This Row],[Age]]&lt;=35,"Early Career",IF(Table1[[#This Row],[Age]]&lt;=45,"Mid Career","Senior")))</f>
        <v>Senior</v>
      </c>
      <c r="AK781" t="str">
        <f>IF(Table1[[#This Row],[MonthlyIncome]]&lt;3000,"Low",IF(Table1[[#This Row],[MonthlyIncome]]&lt;7000,"Medium","High"))</f>
        <v>Low</v>
      </c>
      <c r="AL78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782" spans="1:38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tr">
        <f>IF(Table1[[#This Row],[Age]]&lt;=25,"Young",IF(Table1[[#This Row],[Age]]&lt;=35,"Early Career",IF(Table1[[#This Row],[Age]]&lt;=45,"Mid Career","Senior")))</f>
        <v>Early Career</v>
      </c>
      <c r="AK782" t="str">
        <f>IF(Table1[[#This Row],[MonthlyIncome]]&lt;3000,"Low",IF(Table1[[#This Row],[MonthlyIncome]]&lt;7000,"Medium","High"))</f>
        <v>High</v>
      </c>
      <c r="AL78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783" spans="1:38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tr">
        <f>IF(Table1[[#This Row],[Age]]&lt;=25,"Young",IF(Table1[[#This Row],[Age]]&lt;=35,"Early Career",IF(Table1[[#This Row],[Age]]&lt;=45,"Mid Career","Senior")))</f>
        <v>Early Career</v>
      </c>
      <c r="AK783" t="str">
        <f>IF(Table1[[#This Row],[MonthlyIncome]]&lt;3000,"Low",IF(Table1[[#This Row],[MonthlyIncome]]&lt;7000,"Medium","High"))</f>
        <v>Medium</v>
      </c>
      <c r="AL783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784" spans="1:38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tr">
        <f>IF(Table1[[#This Row],[Age]]&lt;=25,"Young",IF(Table1[[#This Row],[Age]]&lt;=35,"Early Career",IF(Table1[[#This Row],[Age]]&lt;=45,"Mid Career","Senior")))</f>
        <v>Early Career</v>
      </c>
      <c r="AK784" t="str">
        <f>IF(Table1[[#This Row],[MonthlyIncome]]&lt;3000,"Low",IF(Table1[[#This Row],[MonthlyIncome]]&lt;7000,"Medium","High"))</f>
        <v>High</v>
      </c>
      <c r="AL78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785" spans="1:38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tr">
        <f>IF(Table1[[#This Row],[Age]]&lt;=25,"Young",IF(Table1[[#This Row],[Age]]&lt;=35,"Early Career",IF(Table1[[#This Row],[Age]]&lt;=45,"Mid Career","Senior")))</f>
        <v>Mid Career</v>
      </c>
      <c r="AK785" t="str">
        <f>IF(Table1[[#This Row],[MonthlyIncome]]&lt;3000,"Low",IF(Table1[[#This Row],[MonthlyIncome]]&lt;7000,"Medium","High"))</f>
        <v>Medium</v>
      </c>
      <c r="AL78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786" spans="1:38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tr">
        <f>IF(Table1[[#This Row],[Age]]&lt;=25,"Young",IF(Table1[[#This Row],[Age]]&lt;=35,"Early Career",IF(Table1[[#This Row],[Age]]&lt;=45,"Mid Career","Senior")))</f>
        <v>Mid Career</v>
      </c>
      <c r="AK786" t="str">
        <f>IF(Table1[[#This Row],[MonthlyIncome]]&lt;3000,"Low",IF(Table1[[#This Row],[MonthlyIncome]]&lt;7000,"Medium","High"))</f>
        <v>High</v>
      </c>
      <c r="AL786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787" spans="1:38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tr">
        <f>IF(Table1[[#This Row],[Age]]&lt;=25,"Young",IF(Table1[[#This Row],[Age]]&lt;=35,"Early Career",IF(Table1[[#This Row],[Age]]&lt;=45,"Mid Career","Senior")))</f>
        <v>Mid Career</v>
      </c>
      <c r="AK787" t="str">
        <f>IF(Table1[[#This Row],[MonthlyIncome]]&lt;3000,"Low",IF(Table1[[#This Row],[MonthlyIncome]]&lt;7000,"Medium","High"))</f>
        <v>High</v>
      </c>
      <c r="AL787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788" spans="1:38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tr">
        <f>IF(Table1[[#This Row],[Age]]&lt;=25,"Young",IF(Table1[[#This Row],[Age]]&lt;=35,"Early Career",IF(Table1[[#This Row],[Age]]&lt;=45,"Mid Career","Senior")))</f>
        <v>Early Career</v>
      </c>
      <c r="AK788" t="str">
        <f>IF(Table1[[#This Row],[MonthlyIncome]]&lt;3000,"Low",IF(Table1[[#This Row],[MonthlyIncome]]&lt;7000,"Medium","High"))</f>
        <v>Medium</v>
      </c>
      <c r="AL78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789" spans="1:38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tr">
        <f>IF(Table1[[#This Row],[Age]]&lt;=25,"Young",IF(Table1[[#This Row],[Age]]&lt;=35,"Early Career",IF(Table1[[#This Row],[Age]]&lt;=45,"Mid Career","Senior")))</f>
        <v>Senior</v>
      </c>
      <c r="AK789" t="str">
        <f>IF(Table1[[#This Row],[MonthlyIncome]]&lt;3000,"Low",IF(Table1[[#This Row],[MonthlyIncome]]&lt;7000,"Medium","High"))</f>
        <v>High</v>
      </c>
      <c r="AL78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790" spans="1:38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tr">
        <f>IF(Table1[[#This Row],[Age]]&lt;=25,"Young",IF(Table1[[#This Row],[Age]]&lt;=35,"Early Career",IF(Table1[[#This Row],[Age]]&lt;=45,"Mid Career","Senior")))</f>
        <v>Early Career</v>
      </c>
      <c r="AK790" t="str">
        <f>IF(Table1[[#This Row],[MonthlyIncome]]&lt;3000,"Low",IF(Table1[[#This Row],[MonthlyIncome]]&lt;7000,"Medium","High"))</f>
        <v>Medium</v>
      </c>
      <c r="AL79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791" spans="1:38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tr">
        <f>IF(Table1[[#This Row],[Age]]&lt;=25,"Young",IF(Table1[[#This Row],[Age]]&lt;=35,"Early Career",IF(Table1[[#This Row],[Age]]&lt;=45,"Mid Career","Senior")))</f>
        <v>Mid Career</v>
      </c>
      <c r="AK791" t="str">
        <f>IF(Table1[[#This Row],[MonthlyIncome]]&lt;3000,"Low",IF(Table1[[#This Row],[MonthlyIncome]]&lt;7000,"Medium","High"))</f>
        <v>High</v>
      </c>
      <c r="AL791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792" spans="1:38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tr">
        <f>IF(Table1[[#This Row],[Age]]&lt;=25,"Young",IF(Table1[[#This Row],[Age]]&lt;=35,"Early Career",IF(Table1[[#This Row],[Age]]&lt;=45,"Mid Career","Senior")))</f>
        <v>Early Career</v>
      </c>
      <c r="AK792" t="str">
        <f>IF(Table1[[#This Row],[MonthlyIncome]]&lt;3000,"Low",IF(Table1[[#This Row],[MonthlyIncome]]&lt;7000,"Medium","High"))</f>
        <v>High</v>
      </c>
      <c r="AL79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793" spans="1:38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tr">
        <f>IF(Table1[[#This Row],[Age]]&lt;=25,"Young",IF(Table1[[#This Row],[Age]]&lt;=35,"Early Career",IF(Table1[[#This Row],[Age]]&lt;=45,"Mid Career","Senior")))</f>
        <v>Early Career</v>
      </c>
      <c r="AK793" t="str">
        <f>IF(Table1[[#This Row],[MonthlyIncome]]&lt;3000,"Low",IF(Table1[[#This Row],[MonthlyIncome]]&lt;7000,"Medium","High"))</f>
        <v>High</v>
      </c>
      <c r="AL79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794" spans="1:38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tr">
        <f>IF(Table1[[#This Row],[Age]]&lt;=25,"Young",IF(Table1[[#This Row],[Age]]&lt;=35,"Early Career",IF(Table1[[#This Row],[Age]]&lt;=45,"Mid Career","Senior")))</f>
        <v>Early Career</v>
      </c>
      <c r="AK794" t="str">
        <f>IF(Table1[[#This Row],[MonthlyIncome]]&lt;3000,"Low",IF(Table1[[#This Row],[MonthlyIncome]]&lt;7000,"Medium","High"))</f>
        <v>Medium</v>
      </c>
      <c r="AL794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795" spans="1:38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tr">
        <f>IF(Table1[[#This Row],[Age]]&lt;=25,"Young",IF(Table1[[#This Row],[Age]]&lt;=35,"Early Career",IF(Table1[[#This Row],[Age]]&lt;=45,"Mid Career","Senior")))</f>
        <v>Early Career</v>
      </c>
      <c r="AK795" t="str">
        <f>IF(Table1[[#This Row],[MonthlyIncome]]&lt;3000,"Low",IF(Table1[[#This Row],[MonthlyIncome]]&lt;7000,"Medium","High"))</f>
        <v>Low</v>
      </c>
      <c r="AL79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796" spans="1:38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tr">
        <f>IF(Table1[[#This Row],[Age]]&lt;=25,"Young",IF(Table1[[#This Row],[Age]]&lt;=35,"Early Career",IF(Table1[[#This Row],[Age]]&lt;=45,"Mid Career","Senior")))</f>
        <v>Early Career</v>
      </c>
      <c r="AK796" t="str">
        <f>IF(Table1[[#This Row],[MonthlyIncome]]&lt;3000,"Low",IF(Table1[[#This Row],[MonthlyIncome]]&lt;7000,"Medium","High"))</f>
        <v>High</v>
      </c>
      <c r="AL79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797" spans="1:38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tr">
        <f>IF(Table1[[#This Row],[Age]]&lt;=25,"Young",IF(Table1[[#This Row],[Age]]&lt;=35,"Early Career",IF(Table1[[#This Row],[Age]]&lt;=45,"Mid Career","Senior")))</f>
        <v>Mid Career</v>
      </c>
      <c r="AK797" t="str">
        <f>IF(Table1[[#This Row],[MonthlyIncome]]&lt;3000,"Low",IF(Table1[[#This Row],[MonthlyIncome]]&lt;7000,"Medium","High"))</f>
        <v>Medium</v>
      </c>
      <c r="AL79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798" spans="1:38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tr">
        <f>IF(Table1[[#This Row],[Age]]&lt;=25,"Young",IF(Table1[[#This Row],[Age]]&lt;=35,"Early Career",IF(Table1[[#This Row],[Age]]&lt;=45,"Mid Career","Senior")))</f>
        <v>Young</v>
      </c>
      <c r="AK798" t="str">
        <f>IF(Table1[[#This Row],[MonthlyIncome]]&lt;3000,"Low",IF(Table1[[#This Row],[MonthlyIncome]]&lt;7000,"Medium","High"))</f>
        <v>Medium</v>
      </c>
      <c r="AL79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799" spans="1:38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tr">
        <f>IF(Table1[[#This Row],[Age]]&lt;=25,"Young",IF(Table1[[#This Row],[Age]]&lt;=35,"Early Career",IF(Table1[[#This Row],[Age]]&lt;=45,"Mid Career","Senior")))</f>
        <v>Early Career</v>
      </c>
      <c r="AK799" t="str">
        <f>IF(Table1[[#This Row],[MonthlyIncome]]&lt;3000,"Low",IF(Table1[[#This Row],[MonthlyIncome]]&lt;7000,"Medium","High"))</f>
        <v>Low</v>
      </c>
      <c r="AL79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800" spans="1:38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tr">
        <f>IF(Table1[[#This Row],[Age]]&lt;=25,"Young",IF(Table1[[#This Row],[Age]]&lt;=35,"Early Career",IF(Table1[[#This Row],[Age]]&lt;=45,"Mid Career","Senior")))</f>
        <v>Early Career</v>
      </c>
      <c r="AK800" t="str">
        <f>IF(Table1[[#This Row],[MonthlyIncome]]&lt;3000,"Low",IF(Table1[[#This Row],[MonthlyIncome]]&lt;7000,"Medium","High"))</f>
        <v>Low</v>
      </c>
      <c r="AL80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801" spans="1:38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tr">
        <f>IF(Table1[[#This Row],[Age]]&lt;=25,"Young",IF(Table1[[#This Row],[Age]]&lt;=35,"Early Career",IF(Table1[[#This Row],[Age]]&lt;=45,"Mid Career","Senior")))</f>
        <v>Mid Career</v>
      </c>
      <c r="AK801" t="str">
        <f>IF(Table1[[#This Row],[MonthlyIncome]]&lt;3000,"Low",IF(Table1[[#This Row],[MonthlyIncome]]&lt;7000,"Medium","High"))</f>
        <v>High</v>
      </c>
      <c r="AL801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802" spans="1:38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tr">
        <f>IF(Table1[[#This Row],[Age]]&lt;=25,"Young",IF(Table1[[#This Row],[Age]]&lt;=35,"Early Career",IF(Table1[[#This Row],[Age]]&lt;=45,"Mid Career","Senior")))</f>
        <v>Early Career</v>
      </c>
      <c r="AK802" t="str">
        <f>IF(Table1[[#This Row],[MonthlyIncome]]&lt;3000,"Low",IF(Table1[[#This Row],[MonthlyIncome]]&lt;7000,"Medium","High"))</f>
        <v>Low</v>
      </c>
      <c r="AL80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803" spans="1:38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tr">
        <f>IF(Table1[[#This Row],[Age]]&lt;=25,"Young",IF(Table1[[#This Row],[Age]]&lt;=35,"Early Career",IF(Table1[[#This Row],[Age]]&lt;=45,"Mid Career","Senior")))</f>
        <v>Senior</v>
      </c>
      <c r="AK803" t="str">
        <f>IF(Table1[[#This Row],[MonthlyIncome]]&lt;3000,"Low",IF(Table1[[#This Row],[MonthlyIncome]]&lt;7000,"Medium","High"))</f>
        <v>Medium</v>
      </c>
      <c r="AL80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804" spans="1:38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tr">
        <f>IF(Table1[[#This Row],[Age]]&lt;=25,"Young",IF(Table1[[#This Row],[Age]]&lt;=35,"Early Career",IF(Table1[[#This Row],[Age]]&lt;=45,"Mid Career","Senior")))</f>
        <v>Early Career</v>
      </c>
      <c r="AK804" t="str">
        <f>IF(Table1[[#This Row],[MonthlyIncome]]&lt;3000,"Low",IF(Table1[[#This Row],[MonthlyIncome]]&lt;7000,"Medium","High"))</f>
        <v>Medium</v>
      </c>
      <c r="AL80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805" spans="1:38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tr">
        <f>IF(Table1[[#This Row],[Age]]&lt;=25,"Young",IF(Table1[[#This Row],[Age]]&lt;=35,"Early Career",IF(Table1[[#This Row],[Age]]&lt;=45,"Mid Career","Senior")))</f>
        <v>Early Career</v>
      </c>
      <c r="AK805" t="str">
        <f>IF(Table1[[#This Row],[MonthlyIncome]]&lt;3000,"Low",IF(Table1[[#This Row],[MonthlyIncome]]&lt;7000,"Medium","High"))</f>
        <v>Low</v>
      </c>
      <c r="AL805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806" spans="1:38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tr">
        <f>IF(Table1[[#This Row],[Age]]&lt;=25,"Young",IF(Table1[[#This Row],[Age]]&lt;=35,"Early Career",IF(Table1[[#This Row],[Age]]&lt;=45,"Mid Career","Senior")))</f>
        <v>Senior</v>
      </c>
      <c r="AK806" t="str">
        <f>IF(Table1[[#This Row],[MonthlyIncome]]&lt;3000,"Low",IF(Table1[[#This Row],[MonthlyIncome]]&lt;7000,"Medium","High"))</f>
        <v>High</v>
      </c>
      <c r="AL80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807" spans="1:38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tr">
        <f>IF(Table1[[#This Row],[Age]]&lt;=25,"Young",IF(Table1[[#This Row],[Age]]&lt;=35,"Early Career",IF(Table1[[#This Row],[Age]]&lt;=45,"Mid Career","Senior")))</f>
        <v>Mid Career</v>
      </c>
      <c r="AK807" t="str">
        <f>IF(Table1[[#This Row],[MonthlyIncome]]&lt;3000,"Low",IF(Table1[[#This Row],[MonthlyIncome]]&lt;7000,"Medium","High"))</f>
        <v>Medium</v>
      </c>
      <c r="AL807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808" spans="1:38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tr">
        <f>IF(Table1[[#This Row],[Age]]&lt;=25,"Young",IF(Table1[[#This Row],[Age]]&lt;=35,"Early Career",IF(Table1[[#This Row],[Age]]&lt;=45,"Mid Career","Senior")))</f>
        <v>Senior</v>
      </c>
      <c r="AK808" t="str">
        <f>IF(Table1[[#This Row],[MonthlyIncome]]&lt;3000,"Low",IF(Table1[[#This Row],[MonthlyIncome]]&lt;7000,"Medium","High"))</f>
        <v>High</v>
      </c>
      <c r="AL80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09" spans="1:38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tr">
        <f>IF(Table1[[#This Row],[Age]]&lt;=25,"Young",IF(Table1[[#This Row],[Age]]&lt;=35,"Early Career",IF(Table1[[#This Row],[Age]]&lt;=45,"Mid Career","Senior")))</f>
        <v>Mid Career</v>
      </c>
      <c r="AK809" t="str">
        <f>IF(Table1[[#This Row],[MonthlyIncome]]&lt;3000,"Low",IF(Table1[[#This Row],[MonthlyIncome]]&lt;7000,"Medium","High"))</f>
        <v>High</v>
      </c>
      <c r="AL809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10" spans="1:38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tr">
        <f>IF(Table1[[#This Row],[Age]]&lt;=25,"Young",IF(Table1[[#This Row],[Age]]&lt;=35,"Early Career",IF(Table1[[#This Row],[Age]]&lt;=45,"Mid Career","Senior")))</f>
        <v>Early Career</v>
      </c>
      <c r="AK810" t="str">
        <f>IF(Table1[[#This Row],[MonthlyIncome]]&lt;3000,"Low",IF(Table1[[#This Row],[MonthlyIncome]]&lt;7000,"Medium","High"))</f>
        <v>Low</v>
      </c>
      <c r="AL81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11" spans="1:38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tr">
        <f>IF(Table1[[#This Row],[Age]]&lt;=25,"Young",IF(Table1[[#This Row],[Age]]&lt;=35,"Early Career",IF(Table1[[#This Row],[Age]]&lt;=45,"Mid Career","Senior")))</f>
        <v>Early Career</v>
      </c>
      <c r="AK811" t="str">
        <f>IF(Table1[[#This Row],[MonthlyIncome]]&lt;3000,"Low",IF(Table1[[#This Row],[MonthlyIncome]]&lt;7000,"Medium","High"))</f>
        <v>High</v>
      </c>
      <c r="AL81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12" spans="1:38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tr">
        <f>IF(Table1[[#This Row],[Age]]&lt;=25,"Young",IF(Table1[[#This Row],[Age]]&lt;=35,"Early Career",IF(Table1[[#This Row],[Age]]&lt;=45,"Mid Career","Senior")))</f>
        <v>Senior</v>
      </c>
      <c r="AK812" t="str">
        <f>IF(Table1[[#This Row],[MonthlyIncome]]&lt;3000,"Low",IF(Table1[[#This Row],[MonthlyIncome]]&lt;7000,"Medium","High"))</f>
        <v>High</v>
      </c>
      <c r="AL812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813" spans="1:38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tr">
        <f>IF(Table1[[#This Row],[Age]]&lt;=25,"Young",IF(Table1[[#This Row],[Age]]&lt;=35,"Early Career",IF(Table1[[#This Row],[Age]]&lt;=45,"Mid Career","Senior")))</f>
        <v>Mid Career</v>
      </c>
      <c r="AK813" t="str">
        <f>IF(Table1[[#This Row],[MonthlyIncome]]&lt;3000,"Low",IF(Table1[[#This Row],[MonthlyIncome]]&lt;7000,"Medium","High"))</f>
        <v>High</v>
      </c>
      <c r="AL81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814" spans="1:38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tr">
        <f>IF(Table1[[#This Row],[Age]]&lt;=25,"Young",IF(Table1[[#This Row],[Age]]&lt;=35,"Early Career",IF(Table1[[#This Row],[Age]]&lt;=45,"Mid Career","Senior")))</f>
        <v>Mid Career</v>
      </c>
      <c r="AK814" t="str">
        <f>IF(Table1[[#This Row],[MonthlyIncome]]&lt;3000,"Low",IF(Table1[[#This Row],[MonthlyIncome]]&lt;7000,"Medium","High"))</f>
        <v>High</v>
      </c>
      <c r="AL81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15" spans="1:38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tr">
        <f>IF(Table1[[#This Row],[Age]]&lt;=25,"Young",IF(Table1[[#This Row],[Age]]&lt;=35,"Early Career",IF(Table1[[#This Row],[Age]]&lt;=45,"Mid Career","Senior")))</f>
        <v>Mid Career</v>
      </c>
      <c r="AK815" t="str">
        <f>IF(Table1[[#This Row],[MonthlyIncome]]&lt;3000,"Low",IF(Table1[[#This Row],[MonthlyIncome]]&lt;7000,"Medium","High"))</f>
        <v>High</v>
      </c>
      <c r="AL815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816" spans="1:38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tr">
        <f>IF(Table1[[#This Row],[Age]]&lt;=25,"Young",IF(Table1[[#This Row],[Age]]&lt;=35,"Early Career",IF(Table1[[#This Row],[Age]]&lt;=45,"Mid Career","Senior")))</f>
        <v>Mid Career</v>
      </c>
      <c r="AK816" t="str">
        <f>IF(Table1[[#This Row],[MonthlyIncome]]&lt;3000,"Low",IF(Table1[[#This Row],[MonthlyIncome]]&lt;7000,"Medium","High"))</f>
        <v>High</v>
      </c>
      <c r="AL816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817" spans="1:38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tr">
        <f>IF(Table1[[#This Row],[Age]]&lt;=25,"Young",IF(Table1[[#This Row],[Age]]&lt;=35,"Early Career",IF(Table1[[#This Row],[Age]]&lt;=45,"Mid Career","Senior")))</f>
        <v>Young</v>
      </c>
      <c r="AK817" t="str">
        <f>IF(Table1[[#This Row],[MonthlyIncome]]&lt;3000,"Low",IF(Table1[[#This Row],[MonthlyIncome]]&lt;7000,"Medium","High"))</f>
        <v>Low</v>
      </c>
      <c r="AL81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818" spans="1:38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tr">
        <f>IF(Table1[[#This Row],[Age]]&lt;=25,"Young",IF(Table1[[#This Row],[Age]]&lt;=35,"Early Career",IF(Table1[[#This Row],[Age]]&lt;=45,"Mid Career","Senior")))</f>
        <v>Mid Career</v>
      </c>
      <c r="AK818" t="str">
        <f>IF(Table1[[#This Row],[MonthlyIncome]]&lt;3000,"Low",IF(Table1[[#This Row],[MonthlyIncome]]&lt;7000,"Medium","High"))</f>
        <v>Medium</v>
      </c>
      <c r="AL81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819" spans="1:38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tr">
        <f>IF(Table1[[#This Row],[Age]]&lt;=25,"Young",IF(Table1[[#This Row],[Age]]&lt;=35,"Early Career",IF(Table1[[#This Row],[Age]]&lt;=45,"Mid Career","Senior")))</f>
        <v>Mid Career</v>
      </c>
      <c r="AK819" t="str">
        <f>IF(Table1[[#This Row],[MonthlyIncome]]&lt;3000,"Low",IF(Table1[[#This Row],[MonthlyIncome]]&lt;7000,"Medium","High"))</f>
        <v>High</v>
      </c>
      <c r="AL819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820" spans="1:38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tr">
        <f>IF(Table1[[#This Row],[Age]]&lt;=25,"Young",IF(Table1[[#This Row],[Age]]&lt;=35,"Early Career",IF(Table1[[#This Row],[Age]]&lt;=45,"Mid Career","Senior")))</f>
        <v>Early Career</v>
      </c>
      <c r="AK820" t="str">
        <f>IF(Table1[[#This Row],[MonthlyIncome]]&lt;3000,"Low",IF(Table1[[#This Row],[MonthlyIncome]]&lt;7000,"Medium","High"))</f>
        <v>Low</v>
      </c>
      <c r="AL82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821" spans="1:38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tr">
        <f>IF(Table1[[#This Row],[Age]]&lt;=25,"Young",IF(Table1[[#This Row],[Age]]&lt;=35,"Early Career",IF(Table1[[#This Row],[Age]]&lt;=45,"Mid Career","Senior")))</f>
        <v>Early Career</v>
      </c>
      <c r="AK821" t="str">
        <f>IF(Table1[[#This Row],[MonthlyIncome]]&lt;3000,"Low",IF(Table1[[#This Row],[MonthlyIncome]]&lt;7000,"Medium","High"))</f>
        <v>Medium</v>
      </c>
      <c r="AL82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822" spans="1:38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tr">
        <f>IF(Table1[[#This Row],[Age]]&lt;=25,"Young",IF(Table1[[#This Row],[Age]]&lt;=35,"Early Career",IF(Table1[[#This Row],[Age]]&lt;=45,"Mid Career","Senior")))</f>
        <v>Early Career</v>
      </c>
      <c r="AK822" t="str">
        <f>IF(Table1[[#This Row],[MonthlyIncome]]&lt;3000,"Low",IF(Table1[[#This Row],[MonthlyIncome]]&lt;7000,"Medium","High"))</f>
        <v>Medium</v>
      </c>
      <c r="AL82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823" spans="1:38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tr">
        <f>IF(Table1[[#This Row],[Age]]&lt;=25,"Young",IF(Table1[[#This Row],[Age]]&lt;=35,"Early Career",IF(Table1[[#This Row],[Age]]&lt;=45,"Mid Career","Senior")))</f>
        <v>Senior</v>
      </c>
      <c r="AK823" t="str">
        <f>IF(Table1[[#This Row],[MonthlyIncome]]&lt;3000,"Low",IF(Table1[[#This Row],[MonthlyIncome]]&lt;7000,"Medium","High"))</f>
        <v>High</v>
      </c>
      <c r="AL82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24" spans="1:38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tr">
        <f>IF(Table1[[#This Row],[Age]]&lt;=25,"Young",IF(Table1[[#This Row],[Age]]&lt;=35,"Early Career",IF(Table1[[#This Row],[Age]]&lt;=45,"Mid Career","Senior")))</f>
        <v>Early Career</v>
      </c>
      <c r="AK824" t="str">
        <f>IF(Table1[[#This Row],[MonthlyIncome]]&lt;3000,"Low",IF(Table1[[#This Row],[MonthlyIncome]]&lt;7000,"Medium","High"))</f>
        <v>Medium</v>
      </c>
      <c r="AL82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825" spans="1:38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tr">
        <f>IF(Table1[[#This Row],[Age]]&lt;=25,"Young",IF(Table1[[#This Row],[Age]]&lt;=35,"Early Career",IF(Table1[[#This Row],[Age]]&lt;=45,"Mid Career","Senior")))</f>
        <v>Early Career</v>
      </c>
      <c r="AK825" t="str">
        <f>IF(Table1[[#This Row],[MonthlyIncome]]&lt;3000,"Low",IF(Table1[[#This Row],[MonthlyIncome]]&lt;7000,"Medium","High"))</f>
        <v>Medium</v>
      </c>
      <c r="AL82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26" spans="1:38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tr">
        <f>IF(Table1[[#This Row],[Age]]&lt;=25,"Young",IF(Table1[[#This Row],[Age]]&lt;=35,"Early Career",IF(Table1[[#This Row],[Age]]&lt;=45,"Mid Career","Senior")))</f>
        <v>Mid Career</v>
      </c>
      <c r="AK826" t="str">
        <f>IF(Table1[[#This Row],[MonthlyIncome]]&lt;3000,"Low",IF(Table1[[#This Row],[MonthlyIncome]]&lt;7000,"Medium","High"))</f>
        <v>Medium</v>
      </c>
      <c r="AL826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827" spans="1:38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tr">
        <f>IF(Table1[[#This Row],[Age]]&lt;=25,"Young",IF(Table1[[#This Row],[Age]]&lt;=35,"Early Career",IF(Table1[[#This Row],[Age]]&lt;=45,"Mid Career","Senior")))</f>
        <v>Early Career</v>
      </c>
      <c r="AK827" t="str">
        <f>IF(Table1[[#This Row],[MonthlyIncome]]&lt;3000,"Low",IF(Table1[[#This Row],[MonthlyIncome]]&lt;7000,"Medium","High"))</f>
        <v>Medium</v>
      </c>
      <c r="AL82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28" spans="1:38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tr">
        <f>IF(Table1[[#This Row],[Age]]&lt;=25,"Young",IF(Table1[[#This Row],[Age]]&lt;=35,"Early Career",IF(Table1[[#This Row],[Age]]&lt;=45,"Mid Career","Senior")))</f>
        <v>Mid Career</v>
      </c>
      <c r="AK828" t="str">
        <f>IF(Table1[[#This Row],[MonthlyIncome]]&lt;3000,"Low",IF(Table1[[#This Row],[MonthlyIncome]]&lt;7000,"Medium","High"))</f>
        <v>Low</v>
      </c>
      <c r="AL82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29" spans="1:38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tr">
        <f>IF(Table1[[#This Row],[Age]]&lt;=25,"Young",IF(Table1[[#This Row],[Age]]&lt;=35,"Early Career",IF(Table1[[#This Row],[Age]]&lt;=45,"Mid Career","Senior")))</f>
        <v>Early Career</v>
      </c>
      <c r="AK829" t="str">
        <f>IF(Table1[[#This Row],[MonthlyIncome]]&lt;3000,"Low",IF(Table1[[#This Row],[MonthlyIncome]]&lt;7000,"Medium","High"))</f>
        <v>Low</v>
      </c>
      <c r="AL82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830" spans="1:38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tr">
        <f>IF(Table1[[#This Row],[Age]]&lt;=25,"Young",IF(Table1[[#This Row],[Age]]&lt;=35,"Early Career",IF(Table1[[#This Row],[Age]]&lt;=45,"Mid Career","Senior")))</f>
        <v>Young</v>
      </c>
      <c r="AK830" t="str">
        <f>IF(Table1[[#This Row],[MonthlyIncome]]&lt;3000,"Low",IF(Table1[[#This Row],[MonthlyIncome]]&lt;7000,"Medium","High"))</f>
        <v>Low</v>
      </c>
      <c r="AL83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831" spans="1:38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tr">
        <f>IF(Table1[[#This Row],[Age]]&lt;=25,"Young",IF(Table1[[#This Row],[Age]]&lt;=35,"Early Career",IF(Table1[[#This Row],[Age]]&lt;=45,"Mid Career","Senior")))</f>
        <v>Early Career</v>
      </c>
      <c r="AK831" t="str">
        <f>IF(Table1[[#This Row],[MonthlyIncome]]&lt;3000,"Low",IF(Table1[[#This Row],[MonthlyIncome]]&lt;7000,"Medium","High"))</f>
        <v>High</v>
      </c>
      <c r="AL83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832" spans="1:38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tr">
        <f>IF(Table1[[#This Row],[Age]]&lt;=25,"Young",IF(Table1[[#This Row],[Age]]&lt;=35,"Early Career",IF(Table1[[#This Row],[Age]]&lt;=45,"Mid Career","Senior")))</f>
        <v>Mid Career</v>
      </c>
      <c r="AK832" t="str">
        <f>IF(Table1[[#This Row],[MonthlyIncome]]&lt;3000,"Low",IF(Table1[[#This Row],[MonthlyIncome]]&lt;7000,"Medium","High"))</f>
        <v>Medium</v>
      </c>
      <c r="AL83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833" spans="1:38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tr">
        <f>IF(Table1[[#This Row],[Age]]&lt;=25,"Young",IF(Table1[[#This Row],[Age]]&lt;=35,"Early Career",IF(Table1[[#This Row],[Age]]&lt;=45,"Mid Career","Senior")))</f>
        <v>Early Career</v>
      </c>
      <c r="AK833" t="str">
        <f>IF(Table1[[#This Row],[MonthlyIncome]]&lt;3000,"Low",IF(Table1[[#This Row],[MonthlyIncome]]&lt;7000,"Medium","High"))</f>
        <v>Low</v>
      </c>
      <c r="AL83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834" spans="1:38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tr">
        <f>IF(Table1[[#This Row],[Age]]&lt;=25,"Young",IF(Table1[[#This Row],[Age]]&lt;=35,"Early Career",IF(Table1[[#This Row],[Age]]&lt;=45,"Mid Career","Senior")))</f>
        <v>Mid Career</v>
      </c>
      <c r="AK834" t="str">
        <f>IF(Table1[[#This Row],[MonthlyIncome]]&lt;3000,"Low",IF(Table1[[#This Row],[MonthlyIncome]]&lt;7000,"Medium","High"))</f>
        <v>Medium</v>
      </c>
      <c r="AL83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35" spans="1:38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tr">
        <f>IF(Table1[[#This Row],[Age]]&lt;=25,"Young",IF(Table1[[#This Row],[Age]]&lt;=35,"Early Career",IF(Table1[[#This Row],[Age]]&lt;=45,"Mid Career","Senior")))</f>
        <v>Early Career</v>
      </c>
      <c r="AK835" t="str">
        <f>IF(Table1[[#This Row],[MonthlyIncome]]&lt;3000,"Low",IF(Table1[[#This Row],[MonthlyIncome]]&lt;7000,"Medium","High"))</f>
        <v>Low</v>
      </c>
      <c r="AL83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836" spans="1:38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tr">
        <f>IF(Table1[[#This Row],[Age]]&lt;=25,"Young",IF(Table1[[#This Row],[Age]]&lt;=35,"Early Career",IF(Table1[[#This Row],[Age]]&lt;=45,"Mid Career","Senior")))</f>
        <v>Early Career</v>
      </c>
      <c r="AK836" t="str">
        <f>IF(Table1[[#This Row],[MonthlyIncome]]&lt;3000,"Low",IF(Table1[[#This Row],[MonthlyIncome]]&lt;7000,"Medium","High"))</f>
        <v>Medium</v>
      </c>
      <c r="AL83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37" spans="1:38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tr">
        <f>IF(Table1[[#This Row],[Age]]&lt;=25,"Young",IF(Table1[[#This Row],[Age]]&lt;=35,"Early Career",IF(Table1[[#This Row],[Age]]&lt;=45,"Mid Career","Senior")))</f>
        <v>Early Career</v>
      </c>
      <c r="AK837" t="str">
        <f>IF(Table1[[#This Row],[MonthlyIncome]]&lt;3000,"Low",IF(Table1[[#This Row],[MonthlyIncome]]&lt;7000,"Medium","High"))</f>
        <v>Medium</v>
      </c>
      <c r="AL83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838" spans="1:38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tr">
        <f>IF(Table1[[#This Row],[Age]]&lt;=25,"Young",IF(Table1[[#This Row],[Age]]&lt;=35,"Early Career",IF(Table1[[#This Row],[Age]]&lt;=45,"Mid Career","Senior")))</f>
        <v>Early Career</v>
      </c>
      <c r="AK838" t="str">
        <f>IF(Table1[[#This Row],[MonthlyIncome]]&lt;3000,"Low",IF(Table1[[#This Row],[MonthlyIncome]]&lt;7000,"Medium","High"))</f>
        <v>High</v>
      </c>
      <c r="AL838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839" spans="1:38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tr">
        <f>IF(Table1[[#This Row],[Age]]&lt;=25,"Young",IF(Table1[[#This Row],[Age]]&lt;=35,"Early Career",IF(Table1[[#This Row],[Age]]&lt;=45,"Mid Career","Senior")))</f>
        <v>Mid Career</v>
      </c>
      <c r="AK839" t="str">
        <f>IF(Table1[[#This Row],[MonthlyIncome]]&lt;3000,"Low",IF(Table1[[#This Row],[MonthlyIncome]]&lt;7000,"Medium","High"))</f>
        <v>High</v>
      </c>
      <c r="AL839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840" spans="1:38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tr">
        <f>IF(Table1[[#This Row],[Age]]&lt;=25,"Young",IF(Table1[[#This Row],[Age]]&lt;=35,"Early Career",IF(Table1[[#This Row],[Age]]&lt;=45,"Mid Career","Senior")))</f>
        <v>Mid Career</v>
      </c>
      <c r="AK840" t="str">
        <f>IF(Table1[[#This Row],[MonthlyIncome]]&lt;3000,"Low",IF(Table1[[#This Row],[MonthlyIncome]]&lt;7000,"Medium","High"))</f>
        <v>High</v>
      </c>
      <c r="AL840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841" spans="1:38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tr">
        <f>IF(Table1[[#This Row],[Age]]&lt;=25,"Young",IF(Table1[[#This Row],[Age]]&lt;=35,"Early Career",IF(Table1[[#This Row],[Age]]&lt;=45,"Mid Career","Senior")))</f>
        <v>Mid Career</v>
      </c>
      <c r="AK841" t="str">
        <f>IF(Table1[[#This Row],[MonthlyIncome]]&lt;3000,"Low",IF(Table1[[#This Row],[MonthlyIncome]]&lt;7000,"Medium","High"))</f>
        <v>Medium</v>
      </c>
      <c r="AL84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42" spans="1:38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tr">
        <f>IF(Table1[[#This Row],[Age]]&lt;=25,"Young",IF(Table1[[#This Row],[Age]]&lt;=35,"Early Career",IF(Table1[[#This Row],[Age]]&lt;=45,"Mid Career","Senior")))</f>
        <v>Early Career</v>
      </c>
      <c r="AK842" t="str">
        <f>IF(Table1[[#This Row],[MonthlyIncome]]&lt;3000,"Low",IF(Table1[[#This Row],[MonthlyIncome]]&lt;7000,"Medium","High"))</f>
        <v>Low</v>
      </c>
      <c r="AL84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43" spans="1:38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tr">
        <f>IF(Table1[[#This Row],[Age]]&lt;=25,"Young",IF(Table1[[#This Row],[Age]]&lt;=35,"Early Career",IF(Table1[[#This Row],[Age]]&lt;=45,"Mid Career","Senior")))</f>
        <v>Young</v>
      </c>
      <c r="AK843" t="str">
        <f>IF(Table1[[#This Row],[MonthlyIncome]]&lt;3000,"Low",IF(Table1[[#This Row],[MonthlyIncome]]&lt;7000,"Medium","High"))</f>
        <v>Medium</v>
      </c>
      <c r="AL843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844" spans="1:38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tr">
        <f>IF(Table1[[#This Row],[Age]]&lt;=25,"Young",IF(Table1[[#This Row],[Age]]&lt;=35,"Early Career",IF(Table1[[#This Row],[Age]]&lt;=45,"Mid Career","Senior")))</f>
        <v>Early Career</v>
      </c>
      <c r="AK844" t="str">
        <f>IF(Table1[[#This Row],[MonthlyIncome]]&lt;3000,"Low",IF(Table1[[#This Row],[MonthlyIncome]]&lt;7000,"Medium","High"))</f>
        <v>Low</v>
      </c>
      <c r="AL84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845" spans="1:38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tr">
        <f>IF(Table1[[#This Row],[Age]]&lt;=25,"Young",IF(Table1[[#This Row],[Age]]&lt;=35,"Early Career",IF(Table1[[#This Row],[Age]]&lt;=45,"Mid Career","Senior")))</f>
        <v>Early Career</v>
      </c>
      <c r="AK845" t="str">
        <f>IF(Table1[[#This Row],[MonthlyIncome]]&lt;3000,"Low",IF(Table1[[#This Row],[MonthlyIncome]]&lt;7000,"Medium","High"))</f>
        <v>Medium</v>
      </c>
      <c r="AL84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46" spans="1:38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tr">
        <f>IF(Table1[[#This Row],[Age]]&lt;=25,"Young",IF(Table1[[#This Row],[Age]]&lt;=35,"Early Career",IF(Table1[[#This Row],[Age]]&lt;=45,"Mid Career","Senior")))</f>
        <v>Early Career</v>
      </c>
      <c r="AK846" t="str">
        <f>IF(Table1[[#This Row],[MonthlyIncome]]&lt;3000,"Low",IF(Table1[[#This Row],[MonthlyIncome]]&lt;7000,"Medium","High"))</f>
        <v>Medium</v>
      </c>
      <c r="AL84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47" spans="1:38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tr">
        <f>IF(Table1[[#This Row],[Age]]&lt;=25,"Young",IF(Table1[[#This Row],[Age]]&lt;=35,"Early Career",IF(Table1[[#This Row],[Age]]&lt;=45,"Mid Career","Senior")))</f>
        <v>Mid Career</v>
      </c>
      <c r="AK847" t="str">
        <f>IF(Table1[[#This Row],[MonthlyIncome]]&lt;3000,"Low",IF(Table1[[#This Row],[MonthlyIncome]]&lt;7000,"Medium","High"))</f>
        <v>Medium</v>
      </c>
      <c r="AL84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848" spans="1:38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tr">
        <f>IF(Table1[[#This Row],[Age]]&lt;=25,"Young",IF(Table1[[#This Row],[Age]]&lt;=35,"Early Career",IF(Table1[[#This Row],[Age]]&lt;=45,"Mid Career","Senior")))</f>
        <v>Early Career</v>
      </c>
      <c r="AK848" t="str">
        <f>IF(Table1[[#This Row],[MonthlyIncome]]&lt;3000,"Low",IF(Table1[[#This Row],[MonthlyIncome]]&lt;7000,"Medium","High"))</f>
        <v>High</v>
      </c>
      <c r="AL84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49" spans="1:38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tr">
        <f>IF(Table1[[#This Row],[Age]]&lt;=25,"Young",IF(Table1[[#This Row],[Age]]&lt;=35,"Early Career",IF(Table1[[#This Row],[Age]]&lt;=45,"Mid Career","Senior")))</f>
        <v>Early Career</v>
      </c>
      <c r="AK849" t="str">
        <f>IF(Table1[[#This Row],[MonthlyIncome]]&lt;3000,"Low",IF(Table1[[#This Row],[MonthlyIncome]]&lt;7000,"Medium","High"))</f>
        <v>Medium</v>
      </c>
      <c r="AL849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850" spans="1:38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tr">
        <f>IF(Table1[[#This Row],[Age]]&lt;=25,"Young",IF(Table1[[#This Row],[Age]]&lt;=35,"Early Career",IF(Table1[[#This Row],[Age]]&lt;=45,"Mid Career","Senior")))</f>
        <v>Early Career</v>
      </c>
      <c r="AK850" t="str">
        <f>IF(Table1[[#This Row],[MonthlyIncome]]&lt;3000,"Low",IF(Table1[[#This Row],[MonthlyIncome]]&lt;7000,"Medium","High"))</f>
        <v>Low</v>
      </c>
      <c r="AL85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851" spans="1:38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tr">
        <f>IF(Table1[[#This Row],[Age]]&lt;=25,"Young",IF(Table1[[#This Row],[Age]]&lt;=35,"Early Career",IF(Table1[[#This Row],[Age]]&lt;=45,"Mid Career","Senior")))</f>
        <v>Mid Career</v>
      </c>
      <c r="AK851" t="str">
        <f>IF(Table1[[#This Row],[MonthlyIncome]]&lt;3000,"Low",IF(Table1[[#This Row],[MonthlyIncome]]&lt;7000,"Medium","High"))</f>
        <v>Medium</v>
      </c>
      <c r="AL85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852" spans="1:38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tr">
        <f>IF(Table1[[#This Row],[Age]]&lt;=25,"Young",IF(Table1[[#This Row],[Age]]&lt;=35,"Early Career",IF(Table1[[#This Row],[Age]]&lt;=45,"Mid Career","Senior")))</f>
        <v>Early Career</v>
      </c>
      <c r="AK852" t="str">
        <f>IF(Table1[[#This Row],[MonthlyIncome]]&lt;3000,"Low",IF(Table1[[#This Row],[MonthlyIncome]]&lt;7000,"Medium","High"))</f>
        <v>Low</v>
      </c>
      <c r="AL85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853" spans="1:38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tr">
        <f>IF(Table1[[#This Row],[Age]]&lt;=25,"Young",IF(Table1[[#This Row],[Age]]&lt;=35,"Early Career",IF(Table1[[#This Row],[Age]]&lt;=45,"Mid Career","Senior")))</f>
        <v>Senior</v>
      </c>
      <c r="AK853" t="str">
        <f>IF(Table1[[#This Row],[MonthlyIncome]]&lt;3000,"Low",IF(Table1[[#This Row],[MonthlyIncome]]&lt;7000,"Medium","High"))</f>
        <v>High</v>
      </c>
      <c r="AL853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854" spans="1:38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tr">
        <f>IF(Table1[[#This Row],[Age]]&lt;=25,"Young",IF(Table1[[#This Row],[Age]]&lt;=35,"Early Career",IF(Table1[[#This Row],[Age]]&lt;=45,"Mid Career","Senior")))</f>
        <v>Early Career</v>
      </c>
      <c r="AK854" t="str">
        <f>IF(Table1[[#This Row],[MonthlyIncome]]&lt;3000,"Low",IF(Table1[[#This Row],[MonthlyIncome]]&lt;7000,"Medium","High"))</f>
        <v>Medium</v>
      </c>
      <c r="AL85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55" spans="1:38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tr">
        <f>IF(Table1[[#This Row],[Age]]&lt;=25,"Young",IF(Table1[[#This Row],[Age]]&lt;=35,"Early Career",IF(Table1[[#This Row],[Age]]&lt;=45,"Mid Career","Senior")))</f>
        <v>Young</v>
      </c>
      <c r="AK855" t="str">
        <f>IF(Table1[[#This Row],[MonthlyIncome]]&lt;3000,"Low",IF(Table1[[#This Row],[MonthlyIncome]]&lt;7000,"Medium","High"))</f>
        <v>Low</v>
      </c>
      <c r="AL855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856" spans="1:38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tr">
        <f>IF(Table1[[#This Row],[Age]]&lt;=25,"Young",IF(Table1[[#This Row],[Age]]&lt;=35,"Early Career",IF(Table1[[#This Row],[Age]]&lt;=45,"Mid Career","Senior")))</f>
        <v>Mid Career</v>
      </c>
      <c r="AK856" t="str">
        <f>IF(Table1[[#This Row],[MonthlyIncome]]&lt;3000,"Low",IF(Table1[[#This Row],[MonthlyIncome]]&lt;7000,"Medium","High"))</f>
        <v>Medium</v>
      </c>
      <c r="AL85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857" spans="1:38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tr">
        <f>IF(Table1[[#This Row],[Age]]&lt;=25,"Young",IF(Table1[[#This Row],[Age]]&lt;=35,"Early Career",IF(Table1[[#This Row],[Age]]&lt;=45,"Mid Career","Senior")))</f>
        <v>Mid Career</v>
      </c>
      <c r="AK857" t="str">
        <f>IF(Table1[[#This Row],[MonthlyIncome]]&lt;3000,"Low",IF(Table1[[#This Row],[MonthlyIncome]]&lt;7000,"Medium","High"))</f>
        <v>Medium</v>
      </c>
      <c r="AL857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858" spans="1:38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tr">
        <f>IF(Table1[[#This Row],[Age]]&lt;=25,"Young",IF(Table1[[#This Row],[Age]]&lt;=35,"Early Career",IF(Table1[[#This Row],[Age]]&lt;=45,"Mid Career","Senior")))</f>
        <v>Young</v>
      </c>
      <c r="AK858" t="str">
        <f>IF(Table1[[#This Row],[MonthlyIncome]]&lt;3000,"Low",IF(Table1[[#This Row],[MonthlyIncome]]&lt;7000,"Medium","High"))</f>
        <v>Medium</v>
      </c>
      <c r="AL85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859" spans="1:38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tr">
        <f>IF(Table1[[#This Row],[Age]]&lt;=25,"Young",IF(Table1[[#This Row],[Age]]&lt;=35,"Early Career",IF(Table1[[#This Row],[Age]]&lt;=45,"Mid Career","Senior")))</f>
        <v>Mid Career</v>
      </c>
      <c r="AK859" t="str">
        <f>IF(Table1[[#This Row],[MonthlyIncome]]&lt;3000,"Low",IF(Table1[[#This Row],[MonthlyIncome]]&lt;7000,"Medium","High"))</f>
        <v>Low</v>
      </c>
      <c r="AL859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60" spans="1:38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tr">
        <f>IF(Table1[[#This Row],[Age]]&lt;=25,"Young",IF(Table1[[#This Row],[Age]]&lt;=35,"Early Career",IF(Table1[[#This Row],[Age]]&lt;=45,"Mid Career","Senior")))</f>
        <v>Senior</v>
      </c>
      <c r="AK860" t="str">
        <f>IF(Table1[[#This Row],[MonthlyIncome]]&lt;3000,"Low",IF(Table1[[#This Row],[MonthlyIncome]]&lt;7000,"Medium","High"))</f>
        <v>High</v>
      </c>
      <c r="AL86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61" spans="1:38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tr">
        <f>IF(Table1[[#This Row],[Age]]&lt;=25,"Young",IF(Table1[[#This Row],[Age]]&lt;=35,"Early Career",IF(Table1[[#This Row],[Age]]&lt;=45,"Mid Career","Senior")))</f>
        <v>Early Career</v>
      </c>
      <c r="AK861" t="str">
        <f>IF(Table1[[#This Row],[MonthlyIncome]]&lt;3000,"Low",IF(Table1[[#This Row],[MonthlyIncome]]&lt;7000,"Medium","High"))</f>
        <v>Low</v>
      </c>
      <c r="AL86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862" spans="1:38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tr">
        <f>IF(Table1[[#This Row],[Age]]&lt;=25,"Young",IF(Table1[[#This Row],[Age]]&lt;=35,"Early Career",IF(Table1[[#This Row],[Age]]&lt;=45,"Mid Career","Senior")))</f>
        <v>Young</v>
      </c>
      <c r="AK862" t="str">
        <f>IF(Table1[[#This Row],[MonthlyIncome]]&lt;3000,"Low",IF(Table1[[#This Row],[MonthlyIncome]]&lt;7000,"Medium","High"))</f>
        <v>Low</v>
      </c>
      <c r="AL86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863" spans="1:38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tr">
        <f>IF(Table1[[#This Row],[Age]]&lt;=25,"Young",IF(Table1[[#This Row],[Age]]&lt;=35,"Early Career",IF(Table1[[#This Row],[Age]]&lt;=45,"Mid Career","Senior")))</f>
        <v>Senior</v>
      </c>
      <c r="AK863" t="str">
        <f>IF(Table1[[#This Row],[MonthlyIncome]]&lt;3000,"Low",IF(Table1[[#This Row],[MonthlyIncome]]&lt;7000,"Medium","High"))</f>
        <v>High</v>
      </c>
      <c r="AL863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864" spans="1:38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tr">
        <f>IF(Table1[[#This Row],[Age]]&lt;=25,"Young",IF(Table1[[#This Row],[Age]]&lt;=35,"Early Career",IF(Table1[[#This Row],[Age]]&lt;=45,"Mid Career","Senior")))</f>
        <v>Mid Career</v>
      </c>
      <c r="AK864" t="str">
        <f>IF(Table1[[#This Row],[MonthlyIncome]]&lt;3000,"Low",IF(Table1[[#This Row],[MonthlyIncome]]&lt;7000,"Medium","High"))</f>
        <v>Low</v>
      </c>
      <c r="AL86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865" spans="1:38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tr">
        <f>IF(Table1[[#This Row],[Age]]&lt;=25,"Young",IF(Table1[[#This Row],[Age]]&lt;=35,"Early Career",IF(Table1[[#This Row],[Age]]&lt;=45,"Mid Career","Senior")))</f>
        <v>Early Career</v>
      </c>
      <c r="AK865" t="str">
        <f>IF(Table1[[#This Row],[MonthlyIncome]]&lt;3000,"Low",IF(Table1[[#This Row],[MonthlyIncome]]&lt;7000,"Medium","High"))</f>
        <v>Medium</v>
      </c>
      <c r="AL86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866" spans="1:38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tr">
        <f>IF(Table1[[#This Row],[Age]]&lt;=25,"Young",IF(Table1[[#This Row],[Age]]&lt;=35,"Early Career",IF(Table1[[#This Row],[Age]]&lt;=45,"Mid Career","Senior")))</f>
        <v>Mid Career</v>
      </c>
      <c r="AK866" t="str">
        <f>IF(Table1[[#This Row],[MonthlyIncome]]&lt;3000,"Low",IF(Table1[[#This Row],[MonthlyIncome]]&lt;7000,"Medium","High"))</f>
        <v>Low</v>
      </c>
      <c r="AL866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867" spans="1:38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tr">
        <f>IF(Table1[[#This Row],[Age]]&lt;=25,"Young",IF(Table1[[#This Row],[Age]]&lt;=35,"Early Career",IF(Table1[[#This Row],[Age]]&lt;=45,"Mid Career","Senior")))</f>
        <v>Early Career</v>
      </c>
      <c r="AK867" t="str">
        <f>IF(Table1[[#This Row],[MonthlyIncome]]&lt;3000,"Low",IF(Table1[[#This Row],[MonthlyIncome]]&lt;7000,"Medium","High"))</f>
        <v>Medium</v>
      </c>
      <c r="AL86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868" spans="1:38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tr">
        <f>IF(Table1[[#This Row],[Age]]&lt;=25,"Young",IF(Table1[[#This Row],[Age]]&lt;=35,"Early Career",IF(Table1[[#This Row],[Age]]&lt;=45,"Mid Career","Senior")))</f>
        <v>Mid Career</v>
      </c>
      <c r="AK868" t="str">
        <f>IF(Table1[[#This Row],[MonthlyIncome]]&lt;3000,"Low",IF(Table1[[#This Row],[MonthlyIncome]]&lt;7000,"Medium","High"))</f>
        <v>Medium</v>
      </c>
      <c r="AL86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869" spans="1:38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tr">
        <f>IF(Table1[[#This Row],[Age]]&lt;=25,"Young",IF(Table1[[#This Row],[Age]]&lt;=35,"Early Career",IF(Table1[[#This Row],[Age]]&lt;=45,"Mid Career","Senior")))</f>
        <v>Senior</v>
      </c>
      <c r="AK869" t="str">
        <f>IF(Table1[[#This Row],[MonthlyIncome]]&lt;3000,"Low",IF(Table1[[#This Row],[MonthlyIncome]]&lt;7000,"Medium","High"))</f>
        <v>High</v>
      </c>
      <c r="AL86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870" spans="1:38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tr">
        <f>IF(Table1[[#This Row],[Age]]&lt;=25,"Young",IF(Table1[[#This Row],[Age]]&lt;=35,"Early Career",IF(Table1[[#This Row],[Age]]&lt;=45,"Mid Career","Senior")))</f>
        <v>Early Career</v>
      </c>
      <c r="AK870" t="str">
        <f>IF(Table1[[#This Row],[MonthlyIncome]]&lt;3000,"Low",IF(Table1[[#This Row],[MonthlyIncome]]&lt;7000,"Medium","High"))</f>
        <v>Medium</v>
      </c>
      <c r="AL87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71" spans="1:38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tr">
        <f>IF(Table1[[#This Row],[Age]]&lt;=25,"Young",IF(Table1[[#This Row],[Age]]&lt;=35,"Early Career",IF(Table1[[#This Row],[Age]]&lt;=45,"Mid Career","Senior")))</f>
        <v>Senior</v>
      </c>
      <c r="AK871" t="str">
        <f>IF(Table1[[#This Row],[MonthlyIncome]]&lt;3000,"Low",IF(Table1[[#This Row],[MonthlyIncome]]&lt;7000,"Medium","High"))</f>
        <v>High</v>
      </c>
      <c r="AL87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872" spans="1:38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tr">
        <f>IF(Table1[[#This Row],[Age]]&lt;=25,"Young",IF(Table1[[#This Row],[Age]]&lt;=35,"Early Career",IF(Table1[[#This Row],[Age]]&lt;=45,"Mid Career","Senior")))</f>
        <v>Early Career</v>
      </c>
      <c r="AK872" t="str">
        <f>IF(Table1[[#This Row],[MonthlyIncome]]&lt;3000,"Low",IF(Table1[[#This Row],[MonthlyIncome]]&lt;7000,"Medium","High"))</f>
        <v>High</v>
      </c>
      <c r="AL87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73" spans="1:38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tr">
        <f>IF(Table1[[#This Row],[Age]]&lt;=25,"Young",IF(Table1[[#This Row],[Age]]&lt;=35,"Early Career",IF(Table1[[#This Row],[Age]]&lt;=45,"Mid Career","Senior")))</f>
        <v>Young</v>
      </c>
      <c r="AK873" t="str">
        <f>IF(Table1[[#This Row],[MonthlyIncome]]&lt;3000,"Low",IF(Table1[[#This Row],[MonthlyIncome]]&lt;7000,"Medium","High"))</f>
        <v>Low</v>
      </c>
      <c r="AL87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874" spans="1:38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tr">
        <f>IF(Table1[[#This Row],[Age]]&lt;=25,"Young",IF(Table1[[#This Row],[Age]]&lt;=35,"Early Career",IF(Table1[[#This Row],[Age]]&lt;=45,"Mid Career","Senior")))</f>
        <v>Early Career</v>
      </c>
      <c r="AK874" t="str">
        <f>IF(Table1[[#This Row],[MonthlyIncome]]&lt;3000,"Low",IF(Table1[[#This Row],[MonthlyIncome]]&lt;7000,"Medium","High"))</f>
        <v>Medium</v>
      </c>
      <c r="AL87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75" spans="1:38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tr">
        <f>IF(Table1[[#This Row],[Age]]&lt;=25,"Young",IF(Table1[[#This Row],[Age]]&lt;=35,"Early Career",IF(Table1[[#This Row],[Age]]&lt;=45,"Mid Career","Senior")))</f>
        <v>Mid Career</v>
      </c>
      <c r="AK875" t="str">
        <f>IF(Table1[[#This Row],[MonthlyIncome]]&lt;3000,"Low",IF(Table1[[#This Row],[MonthlyIncome]]&lt;7000,"Medium","High"))</f>
        <v>Low</v>
      </c>
      <c r="AL87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76" spans="1:38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tr">
        <f>IF(Table1[[#This Row],[Age]]&lt;=25,"Young",IF(Table1[[#This Row],[Age]]&lt;=35,"Early Career",IF(Table1[[#This Row],[Age]]&lt;=45,"Mid Career","Senior")))</f>
        <v>Early Career</v>
      </c>
      <c r="AK876" t="str">
        <f>IF(Table1[[#This Row],[MonthlyIncome]]&lt;3000,"Low",IF(Table1[[#This Row],[MonthlyIncome]]&lt;7000,"Medium","High"))</f>
        <v>Medium</v>
      </c>
      <c r="AL87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77" spans="1:38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tr">
        <f>IF(Table1[[#This Row],[Age]]&lt;=25,"Young",IF(Table1[[#This Row],[Age]]&lt;=35,"Early Career",IF(Table1[[#This Row],[Age]]&lt;=45,"Mid Career","Senior")))</f>
        <v>Mid Career</v>
      </c>
      <c r="AK877" t="str">
        <f>IF(Table1[[#This Row],[MonthlyIncome]]&lt;3000,"Low",IF(Table1[[#This Row],[MonthlyIncome]]&lt;7000,"Medium","High"))</f>
        <v>Medium</v>
      </c>
      <c r="AL877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878" spans="1:38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tr">
        <f>IF(Table1[[#This Row],[Age]]&lt;=25,"Young",IF(Table1[[#This Row],[Age]]&lt;=35,"Early Career",IF(Table1[[#This Row],[Age]]&lt;=45,"Mid Career","Senior")))</f>
        <v>Young</v>
      </c>
      <c r="AK878" t="str">
        <f>IF(Table1[[#This Row],[MonthlyIncome]]&lt;3000,"Low",IF(Table1[[#This Row],[MonthlyIncome]]&lt;7000,"Medium","High"))</f>
        <v>Low</v>
      </c>
      <c r="AL87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879" spans="1:38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tr">
        <f>IF(Table1[[#This Row],[Age]]&lt;=25,"Young",IF(Table1[[#This Row],[Age]]&lt;=35,"Early Career",IF(Table1[[#This Row],[Age]]&lt;=45,"Mid Career","Senior")))</f>
        <v>Senior</v>
      </c>
      <c r="AK879" t="str">
        <f>IF(Table1[[#This Row],[MonthlyIncome]]&lt;3000,"Low",IF(Table1[[#This Row],[MonthlyIncome]]&lt;7000,"Medium","High"))</f>
        <v>High</v>
      </c>
      <c r="AL879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80" spans="1:38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tr">
        <f>IF(Table1[[#This Row],[Age]]&lt;=25,"Young",IF(Table1[[#This Row],[Age]]&lt;=35,"Early Career",IF(Table1[[#This Row],[Age]]&lt;=45,"Mid Career","Senior")))</f>
        <v>Mid Career</v>
      </c>
      <c r="AK880" t="str">
        <f>IF(Table1[[#This Row],[MonthlyIncome]]&lt;3000,"Low",IF(Table1[[#This Row],[MonthlyIncome]]&lt;7000,"Medium","High"))</f>
        <v>Medium</v>
      </c>
      <c r="AL88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881" spans="1:38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tr">
        <f>IF(Table1[[#This Row],[Age]]&lt;=25,"Young",IF(Table1[[#This Row],[Age]]&lt;=35,"Early Career",IF(Table1[[#This Row],[Age]]&lt;=45,"Mid Career","Senior")))</f>
        <v>Senior</v>
      </c>
      <c r="AK881" t="str">
        <f>IF(Table1[[#This Row],[MonthlyIncome]]&lt;3000,"Low",IF(Table1[[#This Row],[MonthlyIncome]]&lt;7000,"Medium","High"))</f>
        <v>Medium</v>
      </c>
      <c r="AL881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882" spans="1:38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tr">
        <f>IF(Table1[[#This Row],[Age]]&lt;=25,"Young",IF(Table1[[#This Row],[Age]]&lt;=35,"Early Career",IF(Table1[[#This Row],[Age]]&lt;=45,"Mid Career","Senior")))</f>
        <v>Early Career</v>
      </c>
      <c r="AK882" t="str">
        <f>IF(Table1[[#This Row],[MonthlyIncome]]&lt;3000,"Low",IF(Table1[[#This Row],[MonthlyIncome]]&lt;7000,"Medium","High"))</f>
        <v>Low</v>
      </c>
      <c r="AL88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883" spans="1:38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tr">
        <f>IF(Table1[[#This Row],[Age]]&lt;=25,"Young",IF(Table1[[#This Row],[Age]]&lt;=35,"Early Career",IF(Table1[[#This Row],[Age]]&lt;=45,"Mid Career","Senior")))</f>
        <v>Early Career</v>
      </c>
      <c r="AK883" t="str">
        <f>IF(Table1[[#This Row],[MonthlyIncome]]&lt;3000,"Low",IF(Table1[[#This Row],[MonthlyIncome]]&lt;7000,"Medium","High"))</f>
        <v>Medium</v>
      </c>
      <c r="AL88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84" spans="1:38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tr">
        <f>IF(Table1[[#This Row],[Age]]&lt;=25,"Young",IF(Table1[[#This Row],[Age]]&lt;=35,"Early Career",IF(Table1[[#This Row],[Age]]&lt;=45,"Mid Career","Senior")))</f>
        <v>Mid Career</v>
      </c>
      <c r="AK884" t="str">
        <f>IF(Table1[[#This Row],[MonthlyIncome]]&lt;3000,"Low",IF(Table1[[#This Row],[MonthlyIncome]]&lt;7000,"Medium","High"))</f>
        <v>High</v>
      </c>
      <c r="AL88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85" spans="1:38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tr">
        <f>IF(Table1[[#This Row],[Age]]&lt;=25,"Young",IF(Table1[[#This Row],[Age]]&lt;=35,"Early Career",IF(Table1[[#This Row],[Age]]&lt;=45,"Mid Career","Senior")))</f>
        <v>Early Career</v>
      </c>
      <c r="AK885" t="str">
        <f>IF(Table1[[#This Row],[MonthlyIncome]]&lt;3000,"Low",IF(Table1[[#This Row],[MonthlyIncome]]&lt;7000,"Medium","High"))</f>
        <v>Low</v>
      </c>
      <c r="AL885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886" spans="1:38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tr">
        <f>IF(Table1[[#This Row],[Age]]&lt;=25,"Young",IF(Table1[[#This Row],[Age]]&lt;=35,"Early Career",IF(Table1[[#This Row],[Age]]&lt;=45,"Mid Career","Senior")))</f>
        <v>Mid Career</v>
      </c>
      <c r="AK886" t="str">
        <f>IF(Table1[[#This Row],[MonthlyIncome]]&lt;3000,"Low",IF(Table1[[#This Row],[MonthlyIncome]]&lt;7000,"Medium","High"))</f>
        <v>Medium</v>
      </c>
      <c r="AL88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887" spans="1:38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tr">
        <f>IF(Table1[[#This Row],[Age]]&lt;=25,"Young",IF(Table1[[#This Row],[Age]]&lt;=35,"Early Career",IF(Table1[[#This Row],[Age]]&lt;=45,"Mid Career","Senior")))</f>
        <v>Young</v>
      </c>
      <c r="AK887" t="str">
        <f>IF(Table1[[#This Row],[MonthlyIncome]]&lt;3000,"Low",IF(Table1[[#This Row],[MonthlyIncome]]&lt;7000,"Medium","High"))</f>
        <v>Medium</v>
      </c>
      <c r="AL88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888" spans="1:38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tr">
        <f>IF(Table1[[#This Row],[Age]]&lt;=25,"Young",IF(Table1[[#This Row],[Age]]&lt;=35,"Early Career",IF(Table1[[#This Row],[Age]]&lt;=45,"Mid Career","Senior")))</f>
        <v>Early Career</v>
      </c>
      <c r="AK888" t="str">
        <f>IF(Table1[[#This Row],[MonthlyIncome]]&lt;3000,"Low",IF(Table1[[#This Row],[MonthlyIncome]]&lt;7000,"Medium","High"))</f>
        <v>Medium</v>
      </c>
      <c r="AL888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889" spans="1:38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tr">
        <f>IF(Table1[[#This Row],[Age]]&lt;=25,"Young",IF(Table1[[#This Row],[Age]]&lt;=35,"Early Career",IF(Table1[[#This Row],[Age]]&lt;=45,"Mid Career","Senior")))</f>
        <v>Mid Career</v>
      </c>
      <c r="AK889" t="str">
        <f>IF(Table1[[#This Row],[MonthlyIncome]]&lt;3000,"Low",IF(Table1[[#This Row],[MonthlyIncome]]&lt;7000,"Medium","High"))</f>
        <v>High</v>
      </c>
      <c r="AL88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890" spans="1:38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tr">
        <f>IF(Table1[[#This Row],[Age]]&lt;=25,"Young",IF(Table1[[#This Row],[Age]]&lt;=35,"Early Career",IF(Table1[[#This Row],[Age]]&lt;=45,"Mid Career","Senior")))</f>
        <v>Early Career</v>
      </c>
      <c r="AK890" t="str">
        <f>IF(Table1[[#This Row],[MonthlyIncome]]&lt;3000,"Low",IF(Table1[[#This Row],[MonthlyIncome]]&lt;7000,"Medium","High"))</f>
        <v>High</v>
      </c>
      <c r="AL890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891" spans="1:38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tr">
        <f>IF(Table1[[#This Row],[Age]]&lt;=25,"Young",IF(Table1[[#This Row],[Age]]&lt;=35,"Early Career",IF(Table1[[#This Row],[Age]]&lt;=45,"Mid Career","Senior")))</f>
        <v>Early Career</v>
      </c>
      <c r="AK891" t="str">
        <f>IF(Table1[[#This Row],[MonthlyIncome]]&lt;3000,"Low",IF(Table1[[#This Row],[MonthlyIncome]]&lt;7000,"Medium","High"))</f>
        <v>Low</v>
      </c>
      <c r="AL89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92" spans="1:38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tr">
        <f>IF(Table1[[#This Row],[Age]]&lt;=25,"Young",IF(Table1[[#This Row],[Age]]&lt;=35,"Early Career",IF(Table1[[#This Row],[Age]]&lt;=45,"Mid Career","Senior")))</f>
        <v>Senior</v>
      </c>
      <c r="AK892" t="str">
        <f>IF(Table1[[#This Row],[MonthlyIncome]]&lt;3000,"Low",IF(Table1[[#This Row],[MonthlyIncome]]&lt;7000,"Medium","High"))</f>
        <v>High</v>
      </c>
      <c r="AL89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893" spans="1:38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tr">
        <f>IF(Table1[[#This Row],[Age]]&lt;=25,"Young",IF(Table1[[#This Row],[Age]]&lt;=35,"Early Career",IF(Table1[[#This Row],[Age]]&lt;=45,"Mid Career","Senior")))</f>
        <v>Mid Career</v>
      </c>
      <c r="AK893" t="str">
        <f>IF(Table1[[#This Row],[MonthlyIncome]]&lt;3000,"Low",IF(Table1[[#This Row],[MonthlyIncome]]&lt;7000,"Medium","High"))</f>
        <v>Low</v>
      </c>
      <c r="AL89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94" spans="1:38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tr">
        <f>IF(Table1[[#This Row],[Age]]&lt;=25,"Young",IF(Table1[[#This Row],[Age]]&lt;=35,"Early Career",IF(Table1[[#This Row],[Age]]&lt;=45,"Mid Career","Senior")))</f>
        <v>Young</v>
      </c>
      <c r="AK894" t="str">
        <f>IF(Table1[[#This Row],[MonthlyIncome]]&lt;3000,"Low",IF(Table1[[#This Row],[MonthlyIncome]]&lt;7000,"Medium","High"))</f>
        <v>Low</v>
      </c>
      <c r="AL89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895" spans="1:38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tr">
        <f>IF(Table1[[#This Row],[Age]]&lt;=25,"Young",IF(Table1[[#This Row],[Age]]&lt;=35,"Early Career",IF(Table1[[#This Row],[Age]]&lt;=45,"Mid Career","Senior")))</f>
        <v>Early Career</v>
      </c>
      <c r="AK895" t="str">
        <f>IF(Table1[[#This Row],[MonthlyIncome]]&lt;3000,"Low",IF(Table1[[#This Row],[MonthlyIncome]]&lt;7000,"Medium","High"))</f>
        <v>Medium</v>
      </c>
      <c r="AL89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896" spans="1:38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tr">
        <f>IF(Table1[[#This Row],[Age]]&lt;=25,"Young",IF(Table1[[#This Row],[Age]]&lt;=35,"Early Career",IF(Table1[[#This Row],[Age]]&lt;=45,"Mid Career","Senior")))</f>
        <v>Senior</v>
      </c>
      <c r="AK896" t="str">
        <f>IF(Table1[[#This Row],[MonthlyIncome]]&lt;3000,"Low",IF(Table1[[#This Row],[MonthlyIncome]]&lt;7000,"Medium","High"))</f>
        <v>High</v>
      </c>
      <c r="AL89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97" spans="1:38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tr">
        <f>IF(Table1[[#This Row],[Age]]&lt;=25,"Young",IF(Table1[[#This Row],[Age]]&lt;=35,"Early Career",IF(Table1[[#This Row],[Age]]&lt;=45,"Mid Career","Senior")))</f>
        <v>Early Career</v>
      </c>
      <c r="AK897" t="str">
        <f>IF(Table1[[#This Row],[MonthlyIncome]]&lt;3000,"Low",IF(Table1[[#This Row],[MonthlyIncome]]&lt;7000,"Medium","High"))</f>
        <v>Medium</v>
      </c>
      <c r="AL89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98" spans="1:38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tr">
        <f>IF(Table1[[#This Row],[Age]]&lt;=25,"Young",IF(Table1[[#This Row],[Age]]&lt;=35,"Early Career",IF(Table1[[#This Row],[Age]]&lt;=45,"Mid Career","Senior")))</f>
        <v>Early Career</v>
      </c>
      <c r="AK898" t="str">
        <f>IF(Table1[[#This Row],[MonthlyIncome]]&lt;3000,"Low",IF(Table1[[#This Row],[MonthlyIncome]]&lt;7000,"Medium","High"))</f>
        <v>Medium</v>
      </c>
      <c r="AL89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899" spans="1:38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tr">
        <f>IF(Table1[[#This Row],[Age]]&lt;=25,"Young",IF(Table1[[#This Row],[Age]]&lt;=35,"Early Career",IF(Table1[[#This Row],[Age]]&lt;=45,"Mid Career","Senior")))</f>
        <v>Senior</v>
      </c>
      <c r="AK899" t="str">
        <f>IF(Table1[[#This Row],[MonthlyIncome]]&lt;3000,"Low",IF(Table1[[#This Row],[MonthlyIncome]]&lt;7000,"Medium","High"))</f>
        <v>Medium</v>
      </c>
      <c r="AL899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00" spans="1:38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tr">
        <f>IF(Table1[[#This Row],[Age]]&lt;=25,"Young",IF(Table1[[#This Row],[Age]]&lt;=35,"Early Career",IF(Table1[[#This Row],[Age]]&lt;=45,"Mid Career","Senior")))</f>
        <v>Mid Career</v>
      </c>
      <c r="AK900" t="str">
        <f>IF(Table1[[#This Row],[MonthlyIncome]]&lt;3000,"Low",IF(Table1[[#This Row],[MonthlyIncome]]&lt;7000,"Medium","High"))</f>
        <v>High</v>
      </c>
      <c r="AL90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01" spans="1:38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tr">
        <f>IF(Table1[[#This Row],[Age]]&lt;=25,"Young",IF(Table1[[#This Row],[Age]]&lt;=35,"Early Career",IF(Table1[[#This Row],[Age]]&lt;=45,"Mid Career","Senior")))</f>
        <v>Senior</v>
      </c>
      <c r="AK901" t="str">
        <f>IF(Table1[[#This Row],[MonthlyIncome]]&lt;3000,"Low",IF(Table1[[#This Row],[MonthlyIncome]]&lt;7000,"Medium","High"))</f>
        <v>High</v>
      </c>
      <c r="AL90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902" spans="1:38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tr">
        <f>IF(Table1[[#This Row],[Age]]&lt;=25,"Young",IF(Table1[[#This Row],[Age]]&lt;=35,"Early Career",IF(Table1[[#This Row],[Age]]&lt;=45,"Mid Career","Senior")))</f>
        <v>Mid Career</v>
      </c>
      <c r="AK902" t="str">
        <f>IF(Table1[[#This Row],[MonthlyIncome]]&lt;3000,"Low",IF(Table1[[#This Row],[MonthlyIncome]]&lt;7000,"Medium","High"))</f>
        <v>Medium</v>
      </c>
      <c r="AL902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903" spans="1:38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tr">
        <f>IF(Table1[[#This Row],[Age]]&lt;=25,"Young",IF(Table1[[#This Row],[Age]]&lt;=35,"Early Career",IF(Table1[[#This Row],[Age]]&lt;=45,"Mid Career","Senior")))</f>
        <v>Senior</v>
      </c>
      <c r="AK903" t="str">
        <f>IF(Table1[[#This Row],[MonthlyIncome]]&lt;3000,"Low",IF(Table1[[#This Row],[MonthlyIncome]]&lt;7000,"Medium","High"))</f>
        <v>Low</v>
      </c>
      <c r="AL90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904" spans="1:38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tr">
        <f>IF(Table1[[#This Row],[Age]]&lt;=25,"Young",IF(Table1[[#This Row],[Age]]&lt;=35,"Early Career",IF(Table1[[#This Row],[Age]]&lt;=45,"Mid Career","Senior")))</f>
        <v>Early Career</v>
      </c>
      <c r="AK904" t="str">
        <f>IF(Table1[[#This Row],[MonthlyIncome]]&lt;3000,"Low",IF(Table1[[#This Row],[MonthlyIncome]]&lt;7000,"Medium","High"))</f>
        <v>Low</v>
      </c>
      <c r="AL90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905" spans="1:38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tr">
        <f>IF(Table1[[#This Row],[Age]]&lt;=25,"Young",IF(Table1[[#This Row],[Age]]&lt;=35,"Early Career",IF(Table1[[#This Row],[Age]]&lt;=45,"Mid Career","Senior")))</f>
        <v>Early Career</v>
      </c>
      <c r="AK905" t="str">
        <f>IF(Table1[[#This Row],[MonthlyIncome]]&lt;3000,"Low",IF(Table1[[#This Row],[MonthlyIncome]]&lt;7000,"Medium","High"))</f>
        <v>Medium</v>
      </c>
      <c r="AL90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06" spans="1:38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tr">
        <f>IF(Table1[[#This Row],[Age]]&lt;=25,"Young",IF(Table1[[#This Row],[Age]]&lt;=35,"Early Career",IF(Table1[[#This Row],[Age]]&lt;=45,"Mid Career","Senior")))</f>
        <v>Senior</v>
      </c>
      <c r="AK906" t="str">
        <f>IF(Table1[[#This Row],[MonthlyIncome]]&lt;3000,"Low",IF(Table1[[#This Row],[MonthlyIncome]]&lt;7000,"Medium","High"))</f>
        <v>High</v>
      </c>
      <c r="AL906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907" spans="1:38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tr">
        <f>IF(Table1[[#This Row],[Age]]&lt;=25,"Young",IF(Table1[[#This Row],[Age]]&lt;=35,"Early Career",IF(Table1[[#This Row],[Age]]&lt;=45,"Mid Career","Senior")))</f>
        <v>Early Career</v>
      </c>
      <c r="AK907" t="str">
        <f>IF(Table1[[#This Row],[MonthlyIncome]]&lt;3000,"Low",IF(Table1[[#This Row],[MonthlyIncome]]&lt;7000,"Medium","High"))</f>
        <v>High</v>
      </c>
      <c r="AL90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08" spans="1:38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tr">
        <f>IF(Table1[[#This Row],[Age]]&lt;=25,"Young",IF(Table1[[#This Row],[Age]]&lt;=35,"Early Career",IF(Table1[[#This Row],[Age]]&lt;=45,"Mid Career","Senior")))</f>
        <v>Early Career</v>
      </c>
      <c r="AK908" t="str">
        <f>IF(Table1[[#This Row],[MonthlyIncome]]&lt;3000,"Low",IF(Table1[[#This Row],[MonthlyIncome]]&lt;7000,"Medium","High"))</f>
        <v>Low</v>
      </c>
      <c r="AL90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909" spans="1:38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tr">
        <f>IF(Table1[[#This Row],[Age]]&lt;=25,"Young",IF(Table1[[#This Row],[Age]]&lt;=35,"Early Career",IF(Table1[[#This Row],[Age]]&lt;=45,"Mid Career","Senior")))</f>
        <v>Mid Career</v>
      </c>
      <c r="AK909" t="str">
        <f>IF(Table1[[#This Row],[MonthlyIncome]]&lt;3000,"Low",IF(Table1[[#This Row],[MonthlyIncome]]&lt;7000,"Medium","High"))</f>
        <v>High</v>
      </c>
      <c r="AL909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910" spans="1:38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tr">
        <f>IF(Table1[[#This Row],[Age]]&lt;=25,"Young",IF(Table1[[#This Row],[Age]]&lt;=35,"Early Career",IF(Table1[[#This Row],[Age]]&lt;=45,"Mid Career","Senior")))</f>
        <v>Early Career</v>
      </c>
      <c r="AK910" t="str">
        <f>IF(Table1[[#This Row],[MonthlyIncome]]&lt;3000,"Low",IF(Table1[[#This Row],[MonthlyIncome]]&lt;7000,"Medium","High"))</f>
        <v>High</v>
      </c>
      <c r="AL91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11" spans="1:38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tr">
        <f>IF(Table1[[#This Row],[Age]]&lt;=25,"Young",IF(Table1[[#This Row],[Age]]&lt;=35,"Early Career",IF(Table1[[#This Row],[Age]]&lt;=45,"Mid Career","Senior")))</f>
        <v>Young</v>
      </c>
      <c r="AK911" t="str">
        <f>IF(Table1[[#This Row],[MonthlyIncome]]&lt;3000,"Low",IF(Table1[[#This Row],[MonthlyIncome]]&lt;7000,"Medium","High"))</f>
        <v>Low</v>
      </c>
      <c r="AL91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912" spans="1:38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tr">
        <f>IF(Table1[[#This Row],[Age]]&lt;=25,"Young",IF(Table1[[#This Row],[Age]]&lt;=35,"Early Career",IF(Table1[[#This Row],[Age]]&lt;=45,"Mid Career","Senior")))</f>
        <v>Young</v>
      </c>
      <c r="AK912" t="str">
        <f>IF(Table1[[#This Row],[MonthlyIncome]]&lt;3000,"Low",IF(Table1[[#This Row],[MonthlyIncome]]&lt;7000,"Medium","High"))</f>
        <v>Low</v>
      </c>
      <c r="AL91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913" spans="1:38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tr">
        <f>IF(Table1[[#This Row],[Age]]&lt;=25,"Young",IF(Table1[[#This Row],[Age]]&lt;=35,"Early Career",IF(Table1[[#This Row],[Age]]&lt;=45,"Mid Career","Senior")))</f>
        <v>Young</v>
      </c>
      <c r="AK913" t="str">
        <f>IF(Table1[[#This Row],[MonthlyIncome]]&lt;3000,"Low",IF(Table1[[#This Row],[MonthlyIncome]]&lt;7000,"Medium","High"))</f>
        <v>Low</v>
      </c>
      <c r="AL91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914" spans="1:38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tr">
        <f>IF(Table1[[#This Row],[Age]]&lt;=25,"Young",IF(Table1[[#This Row],[Age]]&lt;=35,"Early Career",IF(Table1[[#This Row],[Age]]&lt;=45,"Mid Career","Senior")))</f>
        <v>Early Career</v>
      </c>
      <c r="AK914" t="str">
        <f>IF(Table1[[#This Row],[MonthlyIncome]]&lt;3000,"Low",IF(Table1[[#This Row],[MonthlyIncome]]&lt;7000,"Medium","High"))</f>
        <v>Low</v>
      </c>
      <c r="AL91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15" spans="1:38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tr">
        <f>IF(Table1[[#This Row],[Age]]&lt;=25,"Young",IF(Table1[[#This Row],[Age]]&lt;=35,"Early Career",IF(Table1[[#This Row],[Age]]&lt;=45,"Mid Career","Senior")))</f>
        <v>Mid Career</v>
      </c>
      <c r="AK915" t="str">
        <f>IF(Table1[[#This Row],[MonthlyIncome]]&lt;3000,"Low",IF(Table1[[#This Row],[MonthlyIncome]]&lt;7000,"Medium","High"))</f>
        <v>High</v>
      </c>
      <c r="AL915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916" spans="1:38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tr">
        <f>IF(Table1[[#This Row],[Age]]&lt;=25,"Young",IF(Table1[[#This Row],[Age]]&lt;=35,"Early Career",IF(Table1[[#This Row],[Age]]&lt;=45,"Mid Career","Senior")))</f>
        <v>Senior</v>
      </c>
      <c r="AK916" t="str">
        <f>IF(Table1[[#This Row],[MonthlyIncome]]&lt;3000,"Low",IF(Table1[[#This Row],[MonthlyIncome]]&lt;7000,"Medium","High"))</f>
        <v>High</v>
      </c>
      <c r="AL916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917" spans="1:38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tr">
        <f>IF(Table1[[#This Row],[Age]]&lt;=25,"Young",IF(Table1[[#This Row],[Age]]&lt;=35,"Early Career",IF(Table1[[#This Row],[Age]]&lt;=45,"Mid Career","Senior")))</f>
        <v>Young</v>
      </c>
      <c r="AK917" t="str">
        <f>IF(Table1[[#This Row],[MonthlyIncome]]&lt;3000,"Low",IF(Table1[[#This Row],[MonthlyIncome]]&lt;7000,"Medium","High"))</f>
        <v>Low</v>
      </c>
      <c r="AL91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918" spans="1:38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tr">
        <f>IF(Table1[[#This Row],[Age]]&lt;=25,"Young",IF(Table1[[#This Row],[Age]]&lt;=35,"Early Career",IF(Table1[[#This Row],[Age]]&lt;=45,"Mid Career","Senior")))</f>
        <v>Senior</v>
      </c>
      <c r="AK918" t="str">
        <f>IF(Table1[[#This Row],[MonthlyIncome]]&lt;3000,"Low",IF(Table1[[#This Row],[MonthlyIncome]]&lt;7000,"Medium","High"))</f>
        <v>High</v>
      </c>
      <c r="AL918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919" spans="1:38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tr">
        <f>IF(Table1[[#This Row],[Age]]&lt;=25,"Young",IF(Table1[[#This Row],[Age]]&lt;=35,"Early Career",IF(Table1[[#This Row],[Age]]&lt;=45,"Mid Career","Senior")))</f>
        <v>Early Career</v>
      </c>
      <c r="AK919" t="str">
        <f>IF(Table1[[#This Row],[MonthlyIncome]]&lt;3000,"Low",IF(Table1[[#This Row],[MonthlyIncome]]&lt;7000,"Medium","High"))</f>
        <v>Medium</v>
      </c>
      <c r="AL91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920" spans="1:38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tr">
        <f>IF(Table1[[#This Row],[Age]]&lt;=25,"Young",IF(Table1[[#This Row],[Age]]&lt;=35,"Early Career",IF(Table1[[#This Row],[Age]]&lt;=45,"Mid Career","Senior")))</f>
        <v>Senior</v>
      </c>
      <c r="AK920" t="str">
        <f>IF(Table1[[#This Row],[MonthlyIncome]]&lt;3000,"Low",IF(Table1[[#This Row],[MonthlyIncome]]&lt;7000,"Medium","High"))</f>
        <v>High</v>
      </c>
      <c r="AL920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921" spans="1:38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tr">
        <f>IF(Table1[[#This Row],[Age]]&lt;=25,"Young",IF(Table1[[#This Row],[Age]]&lt;=35,"Early Career",IF(Table1[[#This Row],[Age]]&lt;=45,"Mid Career","Senior")))</f>
        <v>Senior</v>
      </c>
      <c r="AK921" t="str">
        <f>IF(Table1[[#This Row],[MonthlyIncome]]&lt;3000,"Low",IF(Table1[[#This Row],[MonthlyIncome]]&lt;7000,"Medium","High"))</f>
        <v>High</v>
      </c>
      <c r="AL92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22" spans="1:38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tr">
        <f>IF(Table1[[#This Row],[Age]]&lt;=25,"Young",IF(Table1[[#This Row],[Age]]&lt;=35,"Early Career",IF(Table1[[#This Row],[Age]]&lt;=45,"Mid Career","Senior")))</f>
        <v>Early Career</v>
      </c>
      <c r="AK922" t="str">
        <f>IF(Table1[[#This Row],[MonthlyIncome]]&lt;3000,"Low",IF(Table1[[#This Row],[MonthlyIncome]]&lt;7000,"Medium","High"))</f>
        <v>Medium</v>
      </c>
      <c r="AL922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923" spans="1:38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tr">
        <f>IF(Table1[[#This Row],[Age]]&lt;=25,"Young",IF(Table1[[#This Row],[Age]]&lt;=35,"Early Career",IF(Table1[[#This Row],[Age]]&lt;=45,"Mid Career","Senior")))</f>
        <v>Early Career</v>
      </c>
      <c r="AK923" t="str">
        <f>IF(Table1[[#This Row],[MonthlyIncome]]&lt;3000,"Low",IF(Table1[[#This Row],[MonthlyIncome]]&lt;7000,"Medium","High"))</f>
        <v>Low</v>
      </c>
      <c r="AL923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924" spans="1:38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tr">
        <f>IF(Table1[[#This Row],[Age]]&lt;=25,"Young",IF(Table1[[#This Row],[Age]]&lt;=35,"Early Career",IF(Table1[[#This Row],[Age]]&lt;=45,"Mid Career","Senior")))</f>
        <v>Mid Career</v>
      </c>
      <c r="AK924" t="str">
        <f>IF(Table1[[#This Row],[MonthlyIncome]]&lt;3000,"Low",IF(Table1[[#This Row],[MonthlyIncome]]&lt;7000,"Medium","High"))</f>
        <v>High</v>
      </c>
      <c r="AL924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925" spans="1:38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tr">
        <f>IF(Table1[[#This Row],[Age]]&lt;=25,"Young",IF(Table1[[#This Row],[Age]]&lt;=35,"Early Career",IF(Table1[[#This Row],[Age]]&lt;=45,"Mid Career","Senior")))</f>
        <v>Early Career</v>
      </c>
      <c r="AK925" t="str">
        <f>IF(Table1[[#This Row],[MonthlyIncome]]&lt;3000,"Low",IF(Table1[[#This Row],[MonthlyIncome]]&lt;7000,"Medium","High"))</f>
        <v>Medium</v>
      </c>
      <c r="AL92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26" spans="1:38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tr">
        <f>IF(Table1[[#This Row],[Age]]&lt;=25,"Young",IF(Table1[[#This Row],[Age]]&lt;=35,"Early Career",IF(Table1[[#This Row],[Age]]&lt;=45,"Mid Career","Senior")))</f>
        <v>Early Career</v>
      </c>
      <c r="AK926" t="str">
        <f>IF(Table1[[#This Row],[MonthlyIncome]]&lt;3000,"Low",IF(Table1[[#This Row],[MonthlyIncome]]&lt;7000,"Medium","High"))</f>
        <v>Medium</v>
      </c>
      <c r="AL92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927" spans="1:38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tr">
        <f>IF(Table1[[#This Row],[Age]]&lt;=25,"Young",IF(Table1[[#This Row],[Age]]&lt;=35,"Early Career",IF(Table1[[#This Row],[Age]]&lt;=45,"Mid Career","Senior")))</f>
        <v>Mid Career</v>
      </c>
      <c r="AK927" t="str">
        <f>IF(Table1[[#This Row],[MonthlyIncome]]&lt;3000,"Low",IF(Table1[[#This Row],[MonthlyIncome]]&lt;7000,"Medium","High"))</f>
        <v>Low</v>
      </c>
      <c r="AL92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928" spans="1:38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tr">
        <f>IF(Table1[[#This Row],[Age]]&lt;=25,"Young",IF(Table1[[#This Row],[Age]]&lt;=35,"Early Career",IF(Table1[[#This Row],[Age]]&lt;=45,"Mid Career","Senior")))</f>
        <v>Mid Career</v>
      </c>
      <c r="AK928" t="str">
        <f>IF(Table1[[#This Row],[MonthlyIncome]]&lt;3000,"Low",IF(Table1[[#This Row],[MonthlyIncome]]&lt;7000,"Medium","High"))</f>
        <v>High</v>
      </c>
      <c r="AL928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929" spans="1:38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tr">
        <f>IF(Table1[[#This Row],[Age]]&lt;=25,"Young",IF(Table1[[#This Row],[Age]]&lt;=35,"Early Career",IF(Table1[[#This Row],[Age]]&lt;=45,"Mid Career","Senior")))</f>
        <v>Mid Career</v>
      </c>
      <c r="AK929" t="str">
        <f>IF(Table1[[#This Row],[MonthlyIncome]]&lt;3000,"Low",IF(Table1[[#This Row],[MonthlyIncome]]&lt;7000,"Medium","High"))</f>
        <v>Medium</v>
      </c>
      <c r="AL929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930" spans="1:38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tr">
        <f>IF(Table1[[#This Row],[Age]]&lt;=25,"Young",IF(Table1[[#This Row],[Age]]&lt;=35,"Early Career",IF(Table1[[#This Row],[Age]]&lt;=45,"Mid Career","Senior")))</f>
        <v>Mid Career</v>
      </c>
      <c r="AK930" t="str">
        <f>IF(Table1[[#This Row],[MonthlyIncome]]&lt;3000,"Low",IF(Table1[[#This Row],[MonthlyIncome]]&lt;7000,"Medium","High"))</f>
        <v>High</v>
      </c>
      <c r="AL93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31" spans="1:38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tr">
        <f>IF(Table1[[#This Row],[Age]]&lt;=25,"Young",IF(Table1[[#This Row],[Age]]&lt;=35,"Early Career",IF(Table1[[#This Row],[Age]]&lt;=45,"Mid Career","Senior")))</f>
        <v>Early Career</v>
      </c>
      <c r="AK931" t="str">
        <f>IF(Table1[[#This Row],[MonthlyIncome]]&lt;3000,"Low",IF(Table1[[#This Row],[MonthlyIncome]]&lt;7000,"Medium","High"))</f>
        <v>Medium</v>
      </c>
      <c r="AL93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932" spans="1:38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tr">
        <f>IF(Table1[[#This Row],[Age]]&lt;=25,"Young",IF(Table1[[#This Row],[Age]]&lt;=35,"Early Career",IF(Table1[[#This Row],[Age]]&lt;=45,"Mid Career","Senior")))</f>
        <v>Senior</v>
      </c>
      <c r="AK932" t="str">
        <f>IF(Table1[[#This Row],[MonthlyIncome]]&lt;3000,"Low",IF(Table1[[#This Row],[MonthlyIncome]]&lt;7000,"Medium","High"))</f>
        <v>Low</v>
      </c>
      <c r="AL93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33" spans="1:38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tr">
        <f>IF(Table1[[#This Row],[Age]]&lt;=25,"Young",IF(Table1[[#This Row],[Age]]&lt;=35,"Early Career",IF(Table1[[#This Row],[Age]]&lt;=45,"Mid Career","Senior")))</f>
        <v>Early Career</v>
      </c>
      <c r="AK933" t="str">
        <f>IF(Table1[[#This Row],[MonthlyIncome]]&lt;3000,"Low",IF(Table1[[#This Row],[MonthlyIncome]]&lt;7000,"Medium","High"))</f>
        <v>Medium</v>
      </c>
      <c r="AL93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34" spans="1:38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tr">
        <f>IF(Table1[[#This Row],[Age]]&lt;=25,"Young",IF(Table1[[#This Row],[Age]]&lt;=35,"Early Career",IF(Table1[[#This Row],[Age]]&lt;=45,"Mid Career","Senior")))</f>
        <v>Early Career</v>
      </c>
      <c r="AK934" t="str">
        <f>IF(Table1[[#This Row],[MonthlyIncome]]&lt;3000,"Low",IF(Table1[[#This Row],[MonthlyIncome]]&lt;7000,"Medium","High"))</f>
        <v>Medium</v>
      </c>
      <c r="AL93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35" spans="1:38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tr">
        <f>IF(Table1[[#This Row],[Age]]&lt;=25,"Young",IF(Table1[[#This Row],[Age]]&lt;=35,"Early Career",IF(Table1[[#This Row],[Age]]&lt;=45,"Mid Career","Senior")))</f>
        <v>Early Career</v>
      </c>
      <c r="AK935" t="str">
        <f>IF(Table1[[#This Row],[MonthlyIncome]]&lt;3000,"Low",IF(Table1[[#This Row],[MonthlyIncome]]&lt;7000,"Medium","High"))</f>
        <v>Low</v>
      </c>
      <c r="AL93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936" spans="1:38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tr">
        <f>IF(Table1[[#This Row],[Age]]&lt;=25,"Young",IF(Table1[[#This Row],[Age]]&lt;=35,"Early Career",IF(Table1[[#This Row],[Age]]&lt;=45,"Mid Career","Senior")))</f>
        <v>Young</v>
      </c>
      <c r="AK936" t="str">
        <f>IF(Table1[[#This Row],[MonthlyIncome]]&lt;3000,"Low",IF(Table1[[#This Row],[MonthlyIncome]]&lt;7000,"Medium","High"))</f>
        <v>Low</v>
      </c>
      <c r="AL936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937" spans="1:38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tr">
        <f>IF(Table1[[#This Row],[Age]]&lt;=25,"Young",IF(Table1[[#This Row],[Age]]&lt;=35,"Early Career",IF(Table1[[#This Row],[Age]]&lt;=45,"Mid Career","Senior")))</f>
        <v>Early Career</v>
      </c>
      <c r="AK937" t="str">
        <f>IF(Table1[[#This Row],[MonthlyIncome]]&lt;3000,"Low",IF(Table1[[#This Row],[MonthlyIncome]]&lt;7000,"Medium","High"))</f>
        <v>Medium</v>
      </c>
      <c r="AL93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38" spans="1:38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tr">
        <f>IF(Table1[[#This Row],[Age]]&lt;=25,"Young",IF(Table1[[#This Row],[Age]]&lt;=35,"Early Career",IF(Table1[[#This Row],[Age]]&lt;=45,"Mid Career","Senior")))</f>
        <v>Mid Career</v>
      </c>
      <c r="AK938" t="str">
        <f>IF(Table1[[#This Row],[MonthlyIncome]]&lt;3000,"Low",IF(Table1[[#This Row],[MonthlyIncome]]&lt;7000,"Medium","High"))</f>
        <v>High</v>
      </c>
      <c r="AL93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939" spans="1:38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tr">
        <f>IF(Table1[[#This Row],[Age]]&lt;=25,"Young",IF(Table1[[#This Row],[Age]]&lt;=35,"Early Career",IF(Table1[[#This Row],[Age]]&lt;=45,"Mid Career","Senior")))</f>
        <v>Mid Career</v>
      </c>
      <c r="AK939" t="str">
        <f>IF(Table1[[#This Row],[MonthlyIncome]]&lt;3000,"Low",IF(Table1[[#This Row],[MonthlyIncome]]&lt;7000,"Medium","High"))</f>
        <v>High</v>
      </c>
      <c r="AL939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940" spans="1:38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tr">
        <f>IF(Table1[[#This Row],[Age]]&lt;=25,"Young",IF(Table1[[#This Row],[Age]]&lt;=35,"Early Career",IF(Table1[[#This Row],[Age]]&lt;=45,"Mid Career","Senior")))</f>
        <v>Senior</v>
      </c>
      <c r="AK940" t="str">
        <f>IF(Table1[[#This Row],[MonthlyIncome]]&lt;3000,"Low",IF(Table1[[#This Row],[MonthlyIncome]]&lt;7000,"Medium","High"))</f>
        <v>Low</v>
      </c>
      <c r="AL94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941" spans="1:38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tr">
        <f>IF(Table1[[#This Row],[Age]]&lt;=25,"Young",IF(Table1[[#This Row],[Age]]&lt;=35,"Early Career",IF(Table1[[#This Row],[Age]]&lt;=45,"Mid Career","Senior")))</f>
        <v>Early Career</v>
      </c>
      <c r="AK941" t="str">
        <f>IF(Table1[[#This Row],[MonthlyIncome]]&lt;3000,"Low",IF(Table1[[#This Row],[MonthlyIncome]]&lt;7000,"Medium","High"))</f>
        <v>Medium</v>
      </c>
      <c r="AL94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42" spans="1:38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tr">
        <f>IF(Table1[[#This Row],[Age]]&lt;=25,"Young",IF(Table1[[#This Row],[Age]]&lt;=35,"Early Career",IF(Table1[[#This Row],[Age]]&lt;=45,"Mid Career","Senior")))</f>
        <v>Mid Career</v>
      </c>
      <c r="AK942" t="str">
        <f>IF(Table1[[#This Row],[MonthlyIncome]]&lt;3000,"Low",IF(Table1[[#This Row],[MonthlyIncome]]&lt;7000,"Medium","High"))</f>
        <v>Medium</v>
      </c>
      <c r="AL94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943" spans="1:38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tr">
        <f>IF(Table1[[#This Row],[Age]]&lt;=25,"Young",IF(Table1[[#This Row],[Age]]&lt;=35,"Early Career",IF(Table1[[#This Row],[Age]]&lt;=45,"Mid Career","Senior")))</f>
        <v>Early Career</v>
      </c>
      <c r="AK943" t="str">
        <f>IF(Table1[[#This Row],[MonthlyIncome]]&lt;3000,"Low",IF(Table1[[#This Row],[MonthlyIncome]]&lt;7000,"Medium","High"))</f>
        <v>Medium</v>
      </c>
      <c r="AL94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44" spans="1:38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tr">
        <f>IF(Table1[[#This Row],[Age]]&lt;=25,"Young",IF(Table1[[#This Row],[Age]]&lt;=35,"Early Career",IF(Table1[[#This Row],[Age]]&lt;=45,"Mid Career","Senior")))</f>
        <v>Mid Career</v>
      </c>
      <c r="AK944" t="str">
        <f>IF(Table1[[#This Row],[MonthlyIncome]]&lt;3000,"Low",IF(Table1[[#This Row],[MonthlyIncome]]&lt;7000,"Medium","High"))</f>
        <v>High</v>
      </c>
      <c r="AL94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45" spans="1:38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tr">
        <f>IF(Table1[[#This Row],[Age]]&lt;=25,"Young",IF(Table1[[#This Row],[Age]]&lt;=35,"Early Career",IF(Table1[[#This Row],[Age]]&lt;=45,"Mid Career","Senior")))</f>
        <v>Senior</v>
      </c>
      <c r="AK945" t="str">
        <f>IF(Table1[[#This Row],[MonthlyIncome]]&lt;3000,"Low",IF(Table1[[#This Row],[MonthlyIncome]]&lt;7000,"Medium","High"))</f>
        <v>Medium</v>
      </c>
      <c r="AL94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46" spans="1:38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tr">
        <f>IF(Table1[[#This Row],[Age]]&lt;=25,"Young",IF(Table1[[#This Row],[Age]]&lt;=35,"Early Career",IF(Table1[[#This Row],[Age]]&lt;=45,"Mid Career","Senior")))</f>
        <v>Early Career</v>
      </c>
      <c r="AK946" t="str">
        <f>IF(Table1[[#This Row],[MonthlyIncome]]&lt;3000,"Low",IF(Table1[[#This Row],[MonthlyIncome]]&lt;7000,"Medium","High"))</f>
        <v>Medium</v>
      </c>
      <c r="AL94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47" spans="1:38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tr">
        <f>IF(Table1[[#This Row],[Age]]&lt;=25,"Young",IF(Table1[[#This Row],[Age]]&lt;=35,"Early Career",IF(Table1[[#This Row],[Age]]&lt;=45,"Mid Career","Senior")))</f>
        <v>Senior</v>
      </c>
      <c r="AK947" t="str">
        <f>IF(Table1[[#This Row],[MonthlyIncome]]&lt;3000,"Low",IF(Table1[[#This Row],[MonthlyIncome]]&lt;7000,"Medium","High"))</f>
        <v>High</v>
      </c>
      <c r="AL94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948" spans="1:38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tr">
        <f>IF(Table1[[#This Row],[Age]]&lt;=25,"Young",IF(Table1[[#This Row],[Age]]&lt;=35,"Early Career",IF(Table1[[#This Row],[Age]]&lt;=45,"Mid Career","Senior")))</f>
        <v>Mid Career</v>
      </c>
      <c r="AK948" t="str">
        <f>IF(Table1[[#This Row],[MonthlyIncome]]&lt;3000,"Low",IF(Table1[[#This Row],[MonthlyIncome]]&lt;7000,"Medium","High"))</f>
        <v>High</v>
      </c>
      <c r="AL94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949" spans="1:38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tr">
        <f>IF(Table1[[#This Row],[Age]]&lt;=25,"Young",IF(Table1[[#This Row],[Age]]&lt;=35,"Early Career",IF(Table1[[#This Row],[Age]]&lt;=45,"Mid Career","Senior")))</f>
        <v>Senior</v>
      </c>
      <c r="AK949" t="str">
        <f>IF(Table1[[#This Row],[MonthlyIncome]]&lt;3000,"Low",IF(Table1[[#This Row],[MonthlyIncome]]&lt;7000,"Medium","High"))</f>
        <v>High</v>
      </c>
      <c r="AL949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50" spans="1:38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tr">
        <f>IF(Table1[[#This Row],[Age]]&lt;=25,"Young",IF(Table1[[#This Row],[Age]]&lt;=35,"Early Career",IF(Table1[[#This Row],[Age]]&lt;=45,"Mid Career","Senior")))</f>
        <v>Early Career</v>
      </c>
      <c r="AK950" t="str">
        <f>IF(Table1[[#This Row],[MonthlyIncome]]&lt;3000,"Low",IF(Table1[[#This Row],[MonthlyIncome]]&lt;7000,"Medium","High"))</f>
        <v>High</v>
      </c>
      <c r="AL95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51" spans="1:38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tr">
        <f>IF(Table1[[#This Row],[Age]]&lt;=25,"Young",IF(Table1[[#This Row],[Age]]&lt;=35,"Early Career",IF(Table1[[#This Row],[Age]]&lt;=45,"Mid Career","Senior")))</f>
        <v>Mid Career</v>
      </c>
      <c r="AK951" t="str">
        <f>IF(Table1[[#This Row],[MonthlyIncome]]&lt;3000,"Low",IF(Table1[[#This Row],[MonthlyIncome]]&lt;7000,"Medium","High"))</f>
        <v>Medium</v>
      </c>
      <c r="AL95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52" spans="1:38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tr">
        <f>IF(Table1[[#This Row],[Age]]&lt;=25,"Young",IF(Table1[[#This Row],[Age]]&lt;=35,"Early Career",IF(Table1[[#This Row],[Age]]&lt;=45,"Mid Career","Senior")))</f>
        <v>Early Career</v>
      </c>
      <c r="AK952" t="str">
        <f>IF(Table1[[#This Row],[MonthlyIncome]]&lt;3000,"Low",IF(Table1[[#This Row],[MonthlyIncome]]&lt;7000,"Medium","High"))</f>
        <v>High</v>
      </c>
      <c r="AL95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53" spans="1:38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tr">
        <f>IF(Table1[[#This Row],[Age]]&lt;=25,"Young",IF(Table1[[#This Row],[Age]]&lt;=35,"Early Career",IF(Table1[[#This Row],[Age]]&lt;=45,"Mid Career","Senior")))</f>
        <v>Mid Career</v>
      </c>
      <c r="AK953" t="str">
        <f>IF(Table1[[#This Row],[MonthlyIncome]]&lt;3000,"Low",IF(Table1[[#This Row],[MonthlyIncome]]&lt;7000,"Medium","High"))</f>
        <v>Medium</v>
      </c>
      <c r="AL953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954" spans="1:38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tr">
        <f>IF(Table1[[#This Row],[Age]]&lt;=25,"Young",IF(Table1[[#This Row],[Age]]&lt;=35,"Early Career",IF(Table1[[#This Row],[Age]]&lt;=45,"Mid Career","Senior")))</f>
        <v>Early Career</v>
      </c>
      <c r="AK954" t="str">
        <f>IF(Table1[[#This Row],[MonthlyIncome]]&lt;3000,"Low",IF(Table1[[#This Row],[MonthlyIncome]]&lt;7000,"Medium","High"))</f>
        <v>Low</v>
      </c>
      <c r="AL95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955" spans="1:38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tr">
        <f>IF(Table1[[#This Row],[Age]]&lt;=25,"Young",IF(Table1[[#This Row],[Age]]&lt;=35,"Early Career",IF(Table1[[#This Row],[Age]]&lt;=45,"Mid Career","Senior")))</f>
        <v>Mid Career</v>
      </c>
      <c r="AK955" t="str">
        <f>IF(Table1[[#This Row],[MonthlyIncome]]&lt;3000,"Low",IF(Table1[[#This Row],[MonthlyIncome]]&lt;7000,"Medium","High"))</f>
        <v>Low</v>
      </c>
      <c r="AL95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956" spans="1:38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tr">
        <f>IF(Table1[[#This Row],[Age]]&lt;=25,"Young",IF(Table1[[#This Row],[Age]]&lt;=35,"Early Career",IF(Table1[[#This Row],[Age]]&lt;=45,"Mid Career","Senior")))</f>
        <v>Mid Career</v>
      </c>
      <c r="AK956" t="str">
        <f>IF(Table1[[#This Row],[MonthlyIncome]]&lt;3000,"Low",IF(Table1[[#This Row],[MonthlyIncome]]&lt;7000,"Medium","High"))</f>
        <v>High</v>
      </c>
      <c r="AL956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957" spans="1:38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tr">
        <f>IF(Table1[[#This Row],[Age]]&lt;=25,"Young",IF(Table1[[#This Row],[Age]]&lt;=35,"Early Career",IF(Table1[[#This Row],[Age]]&lt;=45,"Mid Career","Senior")))</f>
        <v>Senior</v>
      </c>
      <c r="AK957" t="str">
        <f>IF(Table1[[#This Row],[MonthlyIncome]]&lt;3000,"Low",IF(Table1[[#This Row],[MonthlyIncome]]&lt;7000,"Medium","High"))</f>
        <v>High</v>
      </c>
      <c r="AL957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958" spans="1:38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tr">
        <f>IF(Table1[[#This Row],[Age]]&lt;=25,"Young",IF(Table1[[#This Row],[Age]]&lt;=35,"Early Career",IF(Table1[[#This Row],[Age]]&lt;=45,"Mid Career","Senior")))</f>
        <v>Senior</v>
      </c>
      <c r="AK958" t="str">
        <f>IF(Table1[[#This Row],[MonthlyIncome]]&lt;3000,"Low",IF(Table1[[#This Row],[MonthlyIncome]]&lt;7000,"Medium","High"))</f>
        <v>High</v>
      </c>
      <c r="AL95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59" spans="1:38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tr">
        <f>IF(Table1[[#This Row],[Age]]&lt;=25,"Young",IF(Table1[[#This Row],[Age]]&lt;=35,"Early Career",IF(Table1[[#This Row],[Age]]&lt;=45,"Mid Career","Senior")))</f>
        <v>Mid Career</v>
      </c>
      <c r="AK959" t="str">
        <f>IF(Table1[[#This Row],[MonthlyIncome]]&lt;3000,"Low",IF(Table1[[#This Row],[MonthlyIncome]]&lt;7000,"Medium","High"))</f>
        <v>Medium</v>
      </c>
      <c r="AL95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960" spans="1:38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tr">
        <f>IF(Table1[[#This Row],[Age]]&lt;=25,"Young",IF(Table1[[#This Row],[Age]]&lt;=35,"Early Career",IF(Table1[[#This Row],[Age]]&lt;=45,"Mid Career","Senior")))</f>
        <v>Early Career</v>
      </c>
      <c r="AK960" t="str">
        <f>IF(Table1[[#This Row],[MonthlyIncome]]&lt;3000,"Low",IF(Table1[[#This Row],[MonthlyIncome]]&lt;7000,"Medium","High"))</f>
        <v>High</v>
      </c>
      <c r="AL96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61" spans="1:38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tr">
        <f>IF(Table1[[#This Row],[Age]]&lt;=25,"Young",IF(Table1[[#This Row],[Age]]&lt;=35,"Early Career",IF(Table1[[#This Row],[Age]]&lt;=45,"Mid Career","Senior")))</f>
        <v>Mid Career</v>
      </c>
      <c r="AK961" t="str">
        <f>IF(Table1[[#This Row],[MonthlyIncome]]&lt;3000,"Low",IF(Table1[[#This Row],[MonthlyIncome]]&lt;7000,"Medium","High"))</f>
        <v>Medium</v>
      </c>
      <c r="AL96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62" spans="1:38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tr">
        <f>IF(Table1[[#This Row],[Age]]&lt;=25,"Young",IF(Table1[[#This Row],[Age]]&lt;=35,"Early Career",IF(Table1[[#This Row],[Age]]&lt;=45,"Mid Career","Senior")))</f>
        <v>Mid Career</v>
      </c>
      <c r="AK962" t="str">
        <f>IF(Table1[[#This Row],[MonthlyIncome]]&lt;3000,"Low",IF(Table1[[#This Row],[MonthlyIncome]]&lt;7000,"Medium","High"))</f>
        <v>Medium</v>
      </c>
      <c r="AL96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63" spans="1:38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tr">
        <f>IF(Table1[[#This Row],[Age]]&lt;=25,"Young",IF(Table1[[#This Row],[Age]]&lt;=35,"Early Career",IF(Table1[[#This Row],[Age]]&lt;=45,"Mid Career","Senior")))</f>
        <v>Early Career</v>
      </c>
      <c r="AK963" t="str">
        <f>IF(Table1[[#This Row],[MonthlyIncome]]&lt;3000,"Low",IF(Table1[[#This Row],[MonthlyIncome]]&lt;7000,"Medium","High"))</f>
        <v>Medium</v>
      </c>
      <c r="AL96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64" spans="1:38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tr">
        <f>IF(Table1[[#This Row],[Age]]&lt;=25,"Young",IF(Table1[[#This Row],[Age]]&lt;=35,"Early Career",IF(Table1[[#This Row],[Age]]&lt;=45,"Mid Career","Senior")))</f>
        <v>Senior</v>
      </c>
      <c r="AK964" t="str">
        <f>IF(Table1[[#This Row],[MonthlyIncome]]&lt;3000,"Low",IF(Table1[[#This Row],[MonthlyIncome]]&lt;7000,"Medium","High"))</f>
        <v>High</v>
      </c>
      <c r="AL964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965" spans="1:38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tr">
        <f>IF(Table1[[#This Row],[Age]]&lt;=25,"Young",IF(Table1[[#This Row],[Age]]&lt;=35,"Early Career",IF(Table1[[#This Row],[Age]]&lt;=45,"Mid Career","Senior")))</f>
        <v>Mid Career</v>
      </c>
      <c r="AK965" t="str">
        <f>IF(Table1[[#This Row],[MonthlyIncome]]&lt;3000,"Low",IF(Table1[[#This Row],[MonthlyIncome]]&lt;7000,"Medium","High"))</f>
        <v>Medium</v>
      </c>
      <c r="AL96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66" spans="1:38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tr">
        <f>IF(Table1[[#This Row],[Age]]&lt;=25,"Young",IF(Table1[[#This Row],[Age]]&lt;=35,"Early Career",IF(Table1[[#This Row],[Age]]&lt;=45,"Mid Career","Senior")))</f>
        <v>Early Career</v>
      </c>
      <c r="AK966" t="str">
        <f>IF(Table1[[#This Row],[MonthlyIncome]]&lt;3000,"Low",IF(Table1[[#This Row],[MonthlyIncome]]&lt;7000,"Medium","High"))</f>
        <v>Medium</v>
      </c>
      <c r="AL96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67" spans="1:38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tr">
        <f>IF(Table1[[#This Row],[Age]]&lt;=25,"Young",IF(Table1[[#This Row],[Age]]&lt;=35,"Early Career",IF(Table1[[#This Row],[Age]]&lt;=45,"Mid Career","Senior")))</f>
        <v>Young</v>
      </c>
      <c r="AK967" t="str">
        <f>IF(Table1[[#This Row],[MonthlyIncome]]&lt;3000,"Low",IF(Table1[[#This Row],[MonthlyIncome]]&lt;7000,"Medium","High"))</f>
        <v>Medium</v>
      </c>
      <c r="AL96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968" spans="1:38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tr">
        <f>IF(Table1[[#This Row],[Age]]&lt;=25,"Young",IF(Table1[[#This Row],[Age]]&lt;=35,"Early Career",IF(Table1[[#This Row],[Age]]&lt;=45,"Mid Career","Senior")))</f>
        <v>Senior</v>
      </c>
      <c r="AK968" t="str">
        <f>IF(Table1[[#This Row],[MonthlyIncome]]&lt;3000,"Low",IF(Table1[[#This Row],[MonthlyIncome]]&lt;7000,"Medium","High"))</f>
        <v>High</v>
      </c>
      <c r="AL96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69" spans="1:38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tr">
        <f>IF(Table1[[#This Row],[Age]]&lt;=25,"Young",IF(Table1[[#This Row],[Age]]&lt;=35,"Early Career",IF(Table1[[#This Row],[Age]]&lt;=45,"Mid Career","Senior")))</f>
        <v>Mid Career</v>
      </c>
      <c r="AK969" t="str">
        <f>IF(Table1[[#This Row],[MonthlyIncome]]&lt;3000,"Low",IF(Table1[[#This Row],[MonthlyIncome]]&lt;7000,"Medium","High"))</f>
        <v>Low</v>
      </c>
      <c r="AL96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970" spans="1:38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tr">
        <f>IF(Table1[[#This Row],[Age]]&lt;=25,"Young",IF(Table1[[#This Row],[Age]]&lt;=35,"Early Career",IF(Table1[[#This Row],[Age]]&lt;=45,"Mid Career","Senior")))</f>
        <v>Mid Career</v>
      </c>
      <c r="AK970" t="str">
        <f>IF(Table1[[#This Row],[MonthlyIncome]]&lt;3000,"Low",IF(Table1[[#This Row],[MonthlyIncome]]&lt;7000,"Medium","High"))</f>
        <v>Medium</v>
      </c>
      <c r="AL970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971" spans="1:38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tr">
        <f>IF(Table1[[#This Row],[Age]]&lt;=25,"Young",IF(Table1[[#This Row],[Age]]&lt;=35,"Early Career",IF(Table1[[#This Row],[Age]]&lt;=45,"Mid Career","Senior")))</f>
        <v>Senior</v>
      </c>
      <c r="AK971" t="str">
        <f>IF(Table1[[#This Row],[MonthlyIncome]]&lt;3000,"Low",IF(Table1[[#This Row],[MonthlyIncome]]&lt;7000,"Medium","High"))</f>
        <v>High</v>
      </c>
      <c r="AL97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72" spans="1:38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tr">
        <f>IF(Table1[[#This Row],[Age]]&lt;=25,"Young",IF(Table1[[#This Row],[Age]]&lt;=35,"Early Career",IF(Table1[[#This Row],[Age]]&lt;=45,"Mid Career","Senior")))</f>
        <v>Early Career</v>
      </c>
      <c r="AK972" t="str">
        <f>IF(Table1[[#This Row],[MonthlyIncome]]&lt;3000,"Low",IF(Table1[[#This Row],[MonthlyIncome]]&lt;7000,"Medium","High"))</f>
        <v>Low</v>
      </c>
      <c r="AL97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973" spans="1:38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tr">
        <f>IF(Table1[[#This Row],[Age]]&lt;=25,"Young",IF(Table1[[#This Row],[Age]]&lt;=35,"Early Career",IF(Table1[[#This Row],[Age]]&lt;=45,"Mid Career","Senior")))</f>
        <v>Senior</v>
      </c>
      <c r="AK973" t="str">
        <f>IF(Table1[[#This Row],[MonthlyIncome]]&lt;3000,"Low",IF(Table1[[#This Row],[MonthlyIncome]]&lt;7000,"Medium","High"))</f>
        <v>High</v>
      </c>
      <c r="AL973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974" spans="1:38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tr">
        <f>IF(Table1[[#This Row],[Age]]&lt;=25,"Young",IF(Table1[[#This Row],[Age]]&lt;=35,"Early Career",IF(Table1[[#This Row],[Age]]&lt;=45,"Mid Career","Senior")))</f>
        <v>Young</v>
      </c>
      <c r="AK974" t="str">
        <f>IF(Table1[[#This Row],[MonthlyIncome]]&lt;3000,"Low",IF(Table1[[#This Row],[MonthlyIncome]]&lt;7000,"Medium","High"))</f>
        <v>Low</v>
      </c>
      <c r="AL97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975" spans="1:38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tr">
        <f>IF(Table1[[#This Row],[Age]]&lt;=25,"Young",IF(Table1[[#This Row],[Age]]&lt;=35,"Early Career",IF(Table1[[#This Row],[Age]]&lt;=45,"Mid Career","Senior")))</f>
        <v>Early Career</v>
      </c>
      <c r="AK975" t="str">
        <f>IF(Table1[[#This Row],[MonthlyIncome]]&lt;3000,"Low",IF(Table1[[#This Row],[MonthlyIncome]]&lt;7000,"Medium","High"))</f>
        <v>Medium</v>
      </c>
      <c r="AL97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76" spans="1:38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tr">
        <f>IF(Table1[[#This Row],[Age]]&lt;=25,"Young",IF(Table1[[#This Row],[Age]]&lt;=35,"Early Career",IF(Table1[[#This Row],[Age]]&lt;=45,"Mid Career","Senior")))</f>
        <v>Early Career</v>
      </c>
      <c r="AK976" t="str">
        <f>IF(Table1[[#This Row],[MonthlyIncome]]&lt;3000,"Low",IF(Table1[[#This Row],[MonthlyIncome]]&lt;7000,"Medium","High"))</f>
        <v>Medium</v>
      </c>
      <c r="AL97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77" spans="1:38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tr">
        <f>IF(Table1[[#This Row],[Age]]&lt;=25,"Young",IF(Table1[[#This Row],[Age]]&lt;=35,"Early Career",IF(Table1[[#This Row],[Age]]&lt;=45,"Mid Career","Senior")))</f>
        <v>Senior</v>
      </c>
      <c r="AK977" t="str">
        <f>IF(Table1[[#This Row],[MonthlyIncome]]&lt;3000,"Low",IF(Table1[[#This Row],[MonthlyIncome]]&lt;7000,"Medium","High"))</f>
        <v>High</v>
      </c>
      <c r="AL977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978" spans="1:38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tr">
        <f>IF(Table1[[#This Row],[Age]]&lt;=25,"Young",IF(Table1[[#This Row],[Age]]&lt;=35,"Early Career",IF(Table1[[#This Row],[Age]]&lt;=45,"Mid Career","Senior")))</f>
        <v>Senior</v>
      </c>
      <c r="AK978" t="str">
        <f>IF(Table1[[#This Row],[MonthlyIncome]]&lt;3000,"Low",IF(Table1[[#This Row],[MonthlyIncome]]&lt;7000,"Medium","High"))</f>
        <v>High</v>
      </c>
      <c r="AL978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979" spans="1:38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tr">
        <f>IF(Table1[[#This Row],[Age]]&lt;=25,"Young",IF(Table1[[#This Row],[Age]]&lt;=35,"Early Career",IF(Table1[[#This Row],[Age]]&lt;=45,"Mid Career","Senior")))</f>
        <v>Early Career</v>
      </c>
      <c r="AK979" t="str">
        <f>IF(Table1[[#This Row],[MonthlyIncome]]&lt;3000,"Low",IF(Table1[[#This Row],[MonthlyIncome]]&lt;7000,"Medium","High"))</f>
        <v>Low</v>
      </c>
      <c r="AL97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980" spans="1:38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tr">
        <f>IF(Table1[[#This Row],[Age]]&lt;=25,"Young",IF(Table1[[#This Row],[Age]]&lt;=35,"Early Career",IF(Table1[[#This Row],[Age]]&lt;=45,"Mid Career","Senior")))</f>
        <v>Mid Career</v>
      </c>
      <c r="AK980" t="str">
        <f>IF(Table1[[#This Row],[MonthlyIncome]]&lt;3000,"Low",IF(Table1[[#This Row],[MonthlyIncome]]&lt;7000,"Medium","High"))</f>
        <v>Medium</v>
      </c>
      <c r="AL980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981" spans="1:38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tr">
        <f>IF(Table1[[#This Row],[Age]]&lt;=25,"Young",IF(Table1[[#This Row],[Age]]&lt;=35,"Early Career",IF(Table1[[#This Row],[Age]]&lt;=45,"Mid Career","Senior")))</f>
        <v>Early Career</v>
      </c>
      <c r="AK981" t="str">
        <f>IF(Table1[[#This Row],[MonthlyIncome]]&lt;3000,"Low",IF(Table1[[#This Row],[MonthlyIncome]]&lt;7000,"Medium","High"))</f>
        <v>Medium</v>
      </c>
      <c r="AL98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82" spans="1:38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tr">
        <f>IF(Table1[[#This Row],[Age]]&lt;=25,"Young",IF(Table1[[#This Row],[Age]]&lt;=35,"Early Career",IF(Table1[[#This Row],[Age]]&lt;=45,"Mid Career","Senior")))</f>
        <v>Early Career</v>
      </c>
      <c r="AK982" t="str">
        <f>IF(Table1[[#This Row],[MonthlyIncome]]&lt;3000,"Low",IF(Table1[[#This Row],[MonthlyIncome]]&lt;7000,"Medium","High"))</f>
        <v>Low</v>
      </c>
      <c r="AL98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983" spans="1:38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tr">
        <f>IF(Table1[[#This Row],[Age]]&lt;=25,"Young",IF(Table1[[#This Row],[Age]]&lt;=35,"Early Career",IF(Table1[[#This Row],[Age]]&lt;=45,"Mid Career","Senior")))</f>
        <v>Early Career</v>
      </c>
      <c r="AK983" t="str">
        <f>IF(Table1[[#This Row],[MonthlyIncome]]&lt;3000,"Low",IF(Table1[[#This Row],[MonthlyIncome]]&lt;7000,"Medium","High"))</f>
        <v>Medium</v>
      </c>
      <c r="AL983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984" spans="1:38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tr">
        <f>IF(Table1[[#This Row],[Age]]&lt;=25,"Young",IF(Table1[[#This Row],[Age]]&lt;=35,"Early Career",IF(Table1[[#This Row],[Age]]&lt;=45,"Mid Career","Senior")))</f>
        <v>Mid Career</v>
      </c>
      <c r="AK984" t="str">
        <f>IF(Table1[[#This Row],[MonthlyIncome]]&lt;3000,"Low",IF(Table1[[#This Row],[MonthlyIncome]]&lt;7000,"Medium","High"))</f>
        <v>Low</v>
      </c>
      <c r="AL98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985" spans="1:38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tr">
        <f>IF(Table1[[#This Row],[Age]]&lt;=25,"Young",IF(Table1[[#This Row],[Age]]&lt;=35,"Early Career",IF(Table1[[#This Row],[Age]]&lt;=45,"Mid Career","Senior")))</f>
        <v>Early Career</v>
      </c>
      <c r="AK985" t="str">
        <f>IF(Table1[[#This Row],[MonthlyIncome]]&lt;3000,"Low",IF(Table1[[#This Row],[MonthlyIncome]]&lt;7000,"Medium","High"))</f>
        <v>Medium</v>
      </c>
      <c r="AL985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986" spans="1:38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tr">
        <f>IF(Table1[[#This Row],[Age]]&lt;=25,"Young",IF(Table1[[#This Row],[Age]]&lt;=35,"Early Career",IF(Table1[[#This Row],[Age]]&lt;=45,"Mid Career","Senior")))</f>
        <v>Early Career</v>
      </c>
      <c r="AK986" t="str">
        <f>IF(Table1[[#This Row],[MonthlyIncome]]&lt;3000,"Low",IF(Table1[[#This Row],[MonthlyIncome]]&lt;7000,"Medium","High"))</f>
        <v>Medium</v>
      </c>
      <c r="AL98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987" spans="1:38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tr">
        <f>IF(Table1[[#This Row],[Age]]&lt;=25,"Young",IF(Table1[[#This Row],[Age]]&lt;=35,"Early Career",IF(Table1[[#This Row],[Age]]&lt;=45,"Mid Career","Senior")))</f>
        <v>Early Career</v>
      </c>
      <c r="AK987" t="str">
        <f>IF(Table1[[#This Row],[MonthlyIncome]]&lt;3000,"Low",IF(Table1[[#This Row],[MonthlyIncome]]&lt;7000,"Medium","High"))</f>
        <v>Medium</v>
      </c>
      <c r="AL98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88" spans="1:38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tr">
        <f>IF(Table1[[#This Row],[Age]]&lt;=25,"Young",IF(Table1[[#This Row],[Age]]&lt;=35,"Early Career",IF(Table1[[#This Row],[Age]]&lt;=45,"Mid Career","Senior")))</f>
        <v>Mid Career</v>
      </c>
      <c r="AK988" t="str">
        <f>IF(Table1[[#This Row],[MonthlyIncome]]&lt;3000,"Low",IF(Table1[[#This Row],[MonthlyIncome]]&lt;7000,"Medium","High"))</f>
        <v>Medium</v>
      </c>
      <c r="AL98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989" spans="1:38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tr">
        <f>IF(Table1[[#This Row],[Age]]&lt;=25,"Young",IF(Table1[[#This Row],[Age]]&lt;=35,"Early Career",IF(Table1[[#This Row],[Age]]&lt;=45,"Mid Career","Senior")))</f>
        <v>Senior</v>
      </c>
      <c r="AK989" t="str">
        <f>IF(Table1[[#This Row],[MonthlyIncome]]&lt;3000,"Low",IF(Table1[[#This Row],[MonthlyIncome]]&lt;7000,"Medium","High"))</f>
        <v>High</v>
      </c>
      <c r="AL98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990" spans="1:38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tr">
        <f>IF(Table1[[#This Row],[Age]]&lt;=25,"Young",IF(Table1[[#This Row],[Age]]&lt;=35,"Early Career",IF(Table1[[#This Row],[Age]]&lt;=45,"Mid Career","Senior")))</f>
        <v>Mid Career</v>
      </c>
      <c r="AK990" t="str">
        <f>IF(Table1[[#This Row],[MonthlyIncome]]&lt;3000,"Low",IF(Table1[[#This Row],[MonthlyIncome]]&lt;7000,"Medium","High"))</f>
        <v>Medium</v>
      </c>
      <c r="AL99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91" spans="1:38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tr">
        <f>IF(Table1[[#This Row],[Age]]&lt;=25,"Young",IF(Table1[[#This Row],[Age]]&lt;=35,"Early Career",IF(Table1[[#This Row],[Age]]&lt;=45,"Mid Career","Senior")))</f>
        <v>Mid Career</v>
      </c>
      <c r="AK991" t="str">
        <f>IF(Table1[[#This Row],[MonthlyIncome]]&lt;3000,"Low",IF(Table1[[#This Row],[MonthlyIncome]]&lt;7000,"Medium","High"))</f>
        <v>Low</v>
      </c>
      <c r="AL99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92" spans="1:38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tr">
        <f>IF(Table1[[#This Row],[Age]]&lt;=25,"Young",IF(Table1[[#This Row],[Age]]&lt;=35,"Early Career",IF(Table1[[#This Row],[Age]]&lt;=45,"Mid Career","Senior")))</f>
        <v>Early Career</v>
      </c>
      <c r="AK992" t="str">
        <f>IF(Table1[[#This Row],[MonthlyIncome]]&lt;3000,"Low",IF(Table1[[#This Row],[MonthlyIncome]]&lt;7000,"Medium","High"))</f>
        <v>High</v>
      </c>
      <c r="AL99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993" spans="1:38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tr">
        <f>IF(Table1[[#This Row],[Age]]&lt;=25,"Young",IF(Table1[[#This Row],[Age]]&lt;=35,"Early Career",IF(Table1[[#This Row],[Age]]&lt;=45,"Mid Career","Senior")))</f>
        <v>Early Career</v>
      </c>
      <c r="AK993" t="str">
        <f>IF(Table1[[#This Row],[MonthlyIncome]]&lt;3000,"Low",IF(Table1[[#This Row],[MonthlyIncome]]&lt;7000,"Medium","High"))</f>
        <v>Medium</v>
      </c>
      <c r="AL993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994" spans="1:38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tr">
        <f>IF(Table1[[#This Row],[Age]]&lt;=25,"Young",IF(Table1[[#This Row],[Age]]&lt;=35,"Early Career",IF(Table1[[#This Row],[Age]]&lt;=45,"Mid Career","Senior")))</f>
        <v>Mid Career</v>
      </c>
      <c r="AK994" t="str">
        <f>IF(Table1[[#This Row],[MonthlyIncome]]&lt;3000,"Low",IF(Table1[[#This Row],[MonthlyIncome]]&lt;7000,"Medium","High"))</f>
        <v>High</v>
      </c>
      <c r="AL99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95" spans="1:38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tr">
        <f>IF(Table1[[#This Row],[Age]]&lt;=25,"Young",IF(Table1[[#This Row],[Age]]&lt;=35,"Early Career",IF(Table1[[#This Row],[Age]]&lt;=45,"Mid Career","Senior")))</f>
        <v>Young</v>
      </c>
      <c r="AK995" t="str">
        <f>IF(Table1[[#This Row],[MonthlyIncome]]&lt;3000,"Low",IF(Table1[[#This Row],[MonthlyIncome]]&lt;7000,"Medium","High"))</f>
        <v>Medium</v>
      </c>
      <c r="AL99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996" spans="1:38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tr">
        <f>IF(Table1[[#This Row],[Age]]&lt;=25,"Young",IF(Table1[[#This Row],[Age]]&lt;=35,"Early Career",IF(Table1[[#This Row],[Age]]&lt;=45,"Mid Career","Senior")))</f>
        <v>Senior</v>
      </c>
      <c r="AK996" t="str">
        <f>IF(Table1[[#This Row],[MonthlyIncome]]&lt;3000,"Low",IF(Table1[[#This Row],[MonthlyIncome]]&lt;7000,"Medium","High"))</f>
        <v>High</v>
      </c>
      <c r="AL99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997" spans="1:38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tr">
        <f>IF(Table1[[#This Row],[Age]]&lt;=25,"Young",IF(Table1[[#This Row],[Age]]&lt;=35,"Early Career",IF(Table1[[#This Row],[Age]]&lt;=45,"Mid Career","Senior")))</f>
        <v>Mid Career</v>
      </c>
      <c r="AK997" t="str">
        <f>IF(Table1[[#This Row],[MonthlyIncome]]&lt;3000,"Low",IF(Table1[[#This Row],[MonthlyIncome]]&lt;7000,"Medium","High"))</f>
        <v>Medium</v>
      </c>
      <c r="AL997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998" spans="1:38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tr">
        <f>IF(Table1[[#This Row],[Age]]&lt;=25,"Young",IF(Table1[[#This Row],[Age]]&lt;=35,"Early Career",IF(Table1[[#This Row],[Age]]&lt;=45,"Mid Career","Senior")))</f>
        <v>Early Career</v>
      </c>
      <c r="AK998" t="str">
        <f>IF(Table1[[#This Row],[MonthlyIncome]]&lt;3000,"Low",IF(Table1[[#This Row],[MonthlyIncome]]&lt;7000,"Medium","High"))</f>
        <v>Medium</v>
      </c>
      <c r="AL99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999" spans="1:38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tr">
        <f>IF(Table1[[#This Row],[Age]]&lt;=25,"Young",IF(Table1[[#This Row],[Age]]&lt;=35,"Early Career",IF(Table1[[#This Row],[Age]]&lt;=45,"Mid Career","Senior")))</f>
        <v>Early Career</v>
      </c>
      <c r="AK999" t="str">
        <f>IF(Table1[[#This Row],[MonthlyIncome]]&lt;3000,"Low",IF(Table1[[#This Row],[MonthlyIncome]]&lt;7000,"Medium","High"))</f>
        <v>Low</v>
      </c>
      <c r="AL999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000" spans="1:38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tr">
        <f>IF(Table1[[#This Row],[Age]]&lt;=25,"Young",IF(Table1[[#This Row],[Age]]&lt;=35,"Early Career",IF(Table1[[#This Row],[Age]]&lt;=45,"Mid Career","Senior")))</f>
        <v>Early Career</v>
      </c>
      <c r="AK1000" t="str">
        <f>IF(Table1[[#This Row],[MonthlyIncome]]&lt;3000,"Low",IF(Table1[[#This Row],[MonthlyIncome]]&lt;7000,"Medium","High"))</f>
        <v>Medium</v>
      </c>
      <c r="AL100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01" spans="1:38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tr">
        <f>IF(Table1[[#This Row],[Age]]&lt;=25,"Young",IF(Table1[[#This Row],[Age]]&lt;=35,"Early Career",IF(Table1[[#This Row],[Age]]&lt;=45,"Mid Career","Senior")))</f>
        <v>Mid Career</v>
      </c>
      <c r="AK1001" t="str">
        <f>IF(Table1[[#This Row],[MonthlyIncome]]&lt;3000,"Low",IF(Table1[[#This Row],[MonthlyIncome]]&lt;7000,"Medium","High"))</f>
        <v>High</v>
      </c>
      <c r="AL1001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002" spans="1:38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tr">
        <f>IF(Table1[[#This Row],[Age]]&lt;=25,"Young",IF(Table1[[#This Row],[Age]]&lt;=35,"Early Career",IF(Table1[[#This Row],[Age]]&lt;=45,"Mid Career","Senior")))</f>
        <v>Senior</v>
      </c>
      <c r="AK1002" t="str">
        <f>IF(Table1[[#This Row],[MonthlyIncome]]&lt;3000,"Low",IF(Table1[[#This Row],[MonthlyIncome]]&lt;7000,"Medium","High"))</f>
        <v>Low</v>
      </c>
      <c r="AL100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03" spans="1:38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tr">
        <f>IF(Table1[[#This Row],[Age]]&lt;=25,"Young",IF(Table1[[#This Row],[Age]]&lt;=35,"Early Career",IF(Table1[[#This Row],[Age]]&lt;=45,"Mid Career","Senior")))</f>
        <v>Mid Career</v>
      </c>
      <c r="AK1003" t="str">
        <f>IF(Table1[[#This Row],[MonthlyIncome]]&lt;3000,"Low",IF(Table1[[#This Row],[MonthlyIncome]]&lt;7000,"Medium","High"))</f>
        <v>Medium</v>
      </c>
      <c r="AL1003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04" spans="1:38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tr">
        <f>IF(Table1[[#This Row],[Age]]&lt;=25,"Young",IF(Table1[[#This Row],[Age]]&lt;=35,"Early Career",IF(Table1[[#This Row],[Age]]&lt;=45,"Mid Career","Senior")))</f>
        <v>Early Career</v>
      </c>
      <c r="AK1004" t="str">
        <f>IF(Table1[[#This Row],[MonthlyIncome]]&lt;3000,"Low",IF(Table1[[#This Row],[MonthlyIncome]]&lt;7000,"Medium","High"))</f>
        <v>High</v>
      </c>
      <c r="AL100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005" spans="1:38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tr">
        <f>IF(Table1[[#This Row],[Age]]&lt;=25,"Young",IF(Table1[[#This Row],[Age]]&lt;=35,"Early Career",IF(Table1[[#This Row],[Age]]&lt;=45,"Mid Career","Senior")))</f>
        <v>Young</v>
      </c>
      <c r="AK1005" t="str">
        <f>IF(Table1[[#This Row],[MonthlyIncome]]&lt;3000,"Low",IF(Table1[[#This Row],[MonthlyIncome]]&lt;7000,"Medium","High"))</f>
        <v>Medium</v>
      </c>
      <c r="AL100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06" spans="1:38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tr">
        <f>IF(Table1[[#This Row],[Age]]&lt;=25,"Young",IF(Table1[[#This Row],[Age]]&lt;=35,"Early Career",IF(Table1[[#This Row],[Age]]&lt;=45,"Mid Career","Senior")))</f>
        <v>Early Career</v>
      </c>
      <c r="AK1006" t="str">
        <f>IF(Table1[[#This Row],[MonthlyIncome]]&lt;3000,"Low",IF(Table1[[#This Row],[MonthlyIncome]]&lt;7000,"Medium","High"))</f>
        <v>Medium</v>
      </c>
      <c r="AL100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007" spans="1:38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tr">
        <f>IF(Table1[[#This Row],[Age]]&lt;=25,"Young",IF(Table1[[#This Row],[Age]]&lt;=35,"Early Career",IF(Table1[[#This Row],[Age]]&lt;=45,"Mid Career","Senior")))</f>
        <v>Early Career</v>
      </c>
      <c r="AK1007" t="str">
        <f>IF(Table1[[#This Row],[MonthlyIncome]]&lt;3000,"Low",IF(Table1[[#This Row],[MonthlyIncome]]&lt;7000,"Medium","High"))</f>
        <v>High</v>
      </c>
      <c r="AL100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008" spans="1:38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tr">
        <f>IF(Table1[[#This Row],[Age]]&lt;=25,"Young",IF(Table1[[#This Row],[Age]]&lt;=35,"Early Career",IF(Table1[[#This Row],[Age]]&lt;=45,"Mid Career","Senior")))</f>
        <v>Senior</v>
      </c>
      <c r="AK1008" t="str">
        <f>IF(Table1[[#This Row],[MonthlyIncome]]&lt;3000,"Low",IF(Table1[[#This Row],[MonthlyIncome]]&lt;7000,"Medium","High"))</f>
        <v>Medium</v>
      </c>
      <c r="AL100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09" spans="1:38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tr">
        <f>IF(Table1[[#This Row],[Age]]&lt;=25,"Young",IF(Table1[[#This Row],[Age]]&lt;=35,"Early Career",IF(Table1[[#This Row],[Age]]&lt;=45,"Mid Career","Senior")))</f>
        <v>Early Career</v>
      </c>
      <c r="AK1009" t="str">
        <f>IF(Table1[[#This Row],[MonthlyIncome]]&lt;3000,"Low",IF(Table1[[#This Row],[MonthlyIncome]]&lt;7000,"Medium","High"))</f>
        <v>High</v>
      </c>
      <c r="AL1009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010" spans="1:38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tr">
        <f>IF(Table1[[#This Row],[Age]]&lt;=25,"Young",IF(Table1[[#This Row],[Age]]&lt;=35,"Early Career",IF(Table1[[#This Row],[Age]]&lt;=45,"Mid Career","Senior")))</f>
        <v>Senior</v>
      </c>
      <c r="AK1010" t="str">
        <f>IF(Table1[[#This Row],[MonthlyIncome]]&lt;3000,"Low",IF(Table1[[#This Row],[MonthlyIncome]]&lt;7000,"Medium","High"))</f>
        <v>High</v>
      </c>
      <c r="AL1010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011" spans="1:38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tr">
        <f>IF(Table1[[#This Row],[Age]]&lt;=25,"Young",IF(Table1[[#This Row],[Age]]&lt;=35,"Early Career",IF(Table1[[#This Row],[Age]]&lt;=45,"Mid Career","Senior")))</f>
        <v>Senior</v>
      </c>
      <c r="AK1011" t="str">
        <f>IF(Table1[[#This Row],[MonthlyIncome]]&lt;3000,"Low",IF(Table1[[#This Row],[MonthlyIncome]]&lt;7000,"Medium","High"))</f>
        <v>High</v>
      </c>
      <c r="AL101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012" spans="1:38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tr">
        <f>IF(Table1[[#This Row],[Age]]&lt;=25,"Young",IF(Table1[[#This Row],[Age]]&lt;=35,"Early Career",IF(Table1[[#This Row],[Age]]&lt;=45,"Mid Career","Senior")))</f>
        <v>Senior</v>
      </c>
      <c r="AK1012" t="str">
        <f>IF(Table1[[#This Row],[MonthlyIncome]]&lt;3000,"Low",IF(Table1[[#This Row],[MonthlyIncome]]&lt;7000,"Medium","High"))</f>
        <v>High</v>
      </c>
      <c r="AL101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013" spans="1:38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tr">
        <f>IF(Table1[[#This Row],[Age]]&lt;=25,"Young",IF(Table1[[#This Row],[Age]]&lt;=35,"Early Career",IF(Table1[[#This Row],[Age]]&lt;=45,"Mid Career","Senior")))</f>
        <v>Mid Career</v>
      </c>
      <c r="AK1013" t="str">
        <f>IF(Table1[[#This Row],[MonthlyIncome]]&lt;3000,"Low",IF(Table1[[#This Row],[MonthlyIncome]]&lt;7000,"Medium","High"))</f>
        <v>High</v>
      </c>
      <c r="AL1013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14" spans="1:38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tr">
        <f>IF(Table1[[#This Row],[Age]]&lt;=25,"Young",IF(Table1[[#This Row],[Age]]&lt;=35,"Early Career",IF(Table1[[#This Row],[Age]]&lt;=45,"Mid Career","Senior")))</f>
        <v>Early Career</v>
      </c>
      <c r="AK1014" t="str">
        <f>IF(Table1[[#This Row],[MonthlyIncome]]&lt;3000,"Low",IF(Table1[[#This Row],[MonthlyIncome]]&lt;7000,"Medium","High"))</f>
        <v>Low</v>
      </c>
      <c r="AL101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015" spans="1:38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tr">
        <f>IF(Table1[[#This Row],[Age]]&lt;=25,"Young",IF(Table1[[#This Row],[Age]]&lt;=35,"Early Career",IF(Table1[[#This Row],[Age]]&lt;=45,"Mid Career","Senior")))</f>
        <v>Early Career</v>
      </c>
      <c r="AK1015" t="str">
        <f>IF(Table1[[#This Row],[MonthlyIncome]]&lt;3000,"Low",IF(Table1[[#This Row],[MonthlyIncome]]&lt;7000,"Medium","High"))</f>
        <v>Medium</v>
      </c>
      <c r="AL101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16" spans="1:38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tr">
        <f>IF(Table1[[#This Row],[Age]]&lt;=25,"Young",IF(Table1[[#This Row],[Age]]&lt;=35,"Early Career",IF(Table1[[#This Row],[Age]]&lt;=45,"Mid Career","Senior")))</f>
        <v>Early Career</v>
      </c>
      <c r="AK1016" t="str">
        <f>IF(Table1[[#This Row],[MonthlyIncome]]&lt;3000,"Low",IF(Table1[[#This Row],[MonthlyIncome]]&lt;7000,"Medium","High"))</f>
        <v>High</v>
      </c>
      <c r="AL101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17" spans="1:38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tr">
        <f>IF(Table1[[#This Row],[Age]]&lt;=25,"Young",IF(Table1[[#This Row],[Age]]&lt;=35,"Early Career",IF(Table1[[#This Row],[Age]]&lt;=45,"Mid Career","Senior")))</f>
        <v>Early Career</v>
      </c>
      <c r="AK1017" t="str">
        <f>IF(Table1[[#This Row],[MonthlyIncome]]&lt;3000,"Low",IF(Table1[[#This Row],[MonthlyIncome]]&lt;7000,"Medium","High"))</f>
        <v>Low</v>
      </c>
      <c r="AL101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18" spans="1:38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tr">
        <f>IF(Table1[[#This Row],[Age]]&lt;=25,"Young",IF(Table1[[#This Row],[Age]]&lt;=35,"Early Career",IF(Table1[[#This Row],[Age]]&lt;=45,"Mid Career","Senior")))</f>
        <v>Early Career</v>
      </c>
      <c r="AK1018" t="str">
        <f>IF(Table1[[#This Row],[MonthlyIncome]]&lt;3000,"Low",IF(Table1[[#This Row],[MonthlyIncome]]&lt;7000,"Medium","High"))</f>
        <v>Low</v>
      </c>
      <c r="AL101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019" spans="1:38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tr">
        <f>IF(Table1[[#This Row],[Age]]&lt;=25,"Young",IF(Table1[[#This Row],[Age]]&lt;=35,"Early Career",IF(Table1[[#This Row],[Age]]&lt;=45,"Mid Career","Senior")))</f>
        <v>Early Career</v>
      </c>
      <c r="AK1019" t="str">
        <f>IF(Table1[[#This Row],[MonthlyIncome]]&lt;3000,"Low",IF(Table1[[#This Row],[MonthlyIncome]]&lt;7000,"Medium","High"))</f>
        <v>Low</v>
      </c>
      <c r="AL101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20" spans="1:38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tr">
        <f>IF(Table1[[#This Row],[Age]]&lt;=25,"Young",IF(Table1[[#This Row],[Age]]&lt;=35,"Early Career",IF(Table1[[#This Row],[Age]]&lt;=45,"Mid Career","Senior")))</f>
        <v>Mid Career</v>
      </c>
      <c r="AK1020" t="str">
        <f>IF(Table1[[#This Row],[MonthlyIncome]]&lt;3000,"Low",IF(Table1[[#This Row],[MonthlyIncome]]&lt;7000,"Medium","High"))</f>
        <v>Medium</v>
      </c>
      <c r="AL102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021" spans="1:38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tr">
        <f>IF(Table1[[#This Row],[Age]]&lt;=25,"Young",IF(Table1[[#This Row],[Age]]&lt;=35,"Early Career",IF(Table1[[#This Row],[Age]]&lt;=45,"Mid Career","Senior")))</f>
        <v>Mid Career</v>
      </c>
      <c r="AK1021" t="str">
        <f>IF(Table1[[#This Row],[MonthlyIncome]]&lt;3000,"Low",IF(Table1[[#This Row],[MonthlyIncome]]&lt;7000,"Medium","High"))</f>
        <v>Medium</v>
      </c>
      <c r="AL102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22" spans="1:38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tr">
        <f>IF(Table1[[#This Row],[Age]]&lt;=25,"Young",IF(Table1[[#This Row],[Age]]&lt;=35,"Early Career",IF(Table1[[#This Row],[Age]]&lt;=45,"Mid Career","Senior")))</f>
        <v>Senior</v>
      </c>
      <c r="AK1022" t="str">
        <f>IF(Table1[[#This Row],[MonthlyIncome]]&lt;3000,"Low",IF(Table1[[#This Row],[MonthlyIncome]]&lt;7000,"Medium","High"))</f>
        <v>Medium</v>
      </c>
      <c r="AL102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023" spans="1:38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tr">
        <f>IF(Table1[[#This Row],[Age]]&lt;=25,"Young",IF(Table1[[#This Row],[Age]]&lt;=35,"Early Career",IF(Table1[[#This Row],[Age]]&lt;=45,"Mid Career","Senior")))</f>
        <v>Young</v>
      </c>
      <c r="AK1023" t="str">
        <f>IF(Table1[[#This Row],[MonthlyIncome]]&lt;3000,"Low",IF(Table1[[#This Row],[MonthlyIncome]]&lt;7000,"Medium","High"))</f>
        <v>Medium</v>
      </c>
      <c r="AL1023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24" spans="1:38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tr">
        <f>IF(Table1[[#This Row],[Age]]&lt;=25,"Young",IF(Table1[[#This Row],[Age]]&lt;=35,"Early Career",IF(Table1[[#This Row],[Age]]&lt;=45,"Mid Career","Senior")))</f>
        <v>Mid Career</v>
      </c>
      <c r="AK1024" t="str">
        <f>IF(Table1[[#This Row],[MonthlyIncome]]&lt;3000,"Low",IF(Table1[[#This Row],[MonthlyIncome]]&lt;7000,"Medium","High"))</f>
        <v>Medium</v>
      </c>
      <c r="AL102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025" spans="1:38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tr">
        <f>IF(Table1[[#This Row],[Age]]&lt;=25,"Young",IF(Table1[[#This Row],[Age]]&lt;=35,"Early Career",IF(Table1[[#This Row],[Age]]&lt;=45,"Mid Career","Senior")))</f>
        <v>Senior</v>
      </c>
      <c r="AK1025" t="str">
        <f>IF(Table1[[#This Row],[MonthlyIncome]]&lt;3000,"Low",IF(Table1[[#This Row],[MonthlyIncome]]&lt;7000,"Medium","High"))</f>
        <v>Low</v>
      </c>
      <c r="AL102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26" spans="1:38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tr">
        <f>IF(Table1[[#This Row],[Age]]&lt;=25,"Young",IF(Table1[[#This Row],[Age]]&lt;=35,"Early Career",IF(Table1[[#This Row],[Age]]&lt;=45,"Mid Career","Senior")))</f>
        <v>Senior</v>
      </c>
      <c r="AK1026" t="str">
        <f>IF(Table1[[#This Row],[MonthlyIncome]]&lt;3000,"Low",IF(Table1[[#This Row],[MonthlyIncome]]&lt;7000,"Medium","High"))</f>
        <v>High</v>
      </c>
      <c r="AL1026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027" spans="1:38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tr">
        <f>IF(Table1[[#This Row],[Age]]&lt;=25,"Young",IF(Table1[[#This Row],[Age]]&lt;=35,"Early Career",IF(Table1[[#This Row],[Age]]&lt;=45,"Mid Career","Senior")))</f>
        <v>Young</v>
      </c>
      <c r="AK1027" t="str">
        <f>IF(Table1[[#This Row],[MonthlyIncome]]&lt;3000,"Low",IF(Table1[[#This Row],[MonthlyIncome]]&lt;7000,"Medium","High"))</f>
        <v>Medium</v>
      </c>
      <c r="AL102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28" spans="1:38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tr">
        <f>IF(Table1[[#This Row],[Age]]&lt;=25,"Young",IF(Table1[[#This Row],[Age]]&lt;=35,"Early Career",IF(Table1[[#This Row],[Age]]&lt;=45,"Mid Career","Senior")))</f>
        <v>Early Career</v>
      </c>
      <c r="AK1028" t="str">
        <f>IF(Table1[[#This Row],[MonthlyIncome]]&lt;3000,"Low",IF(Table1[[#This Row],[MonthlyIncome]]&lt;7000,"Medium","High"))</f>
        <v>High</v>
      </c>
      <c r="AL102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29" spans="1:38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tr">
        <f>IF(Table1[[#This Row],[Age]]&lt;=25,"Young",IF(Table1[[#This Row],[Age]]&lt;=35,"Early Career",IF(Table1[[#This Row],[Age]]&lt;=45,"Mid Career","Senior")))</f>
        <v>Early Career</v>
      </c>
      <c r="AK1029" t="str">
        <f>IF(Table1[[#This Row],[MonthlyIncome]]&lt;3000,"Low",IF(Table1[[#This Row],[MonthlyIncome]]&lt;7000,"Medium","High"))</f>
        <v>Medium</v>
      </c>
      <c r="AL102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30" spans="1:38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tr">
        <f>IF(Table1[[#This Row],[Age]]&lt;=25,"Young",IF(Table1[[#This Row],[Age]]&lt;=35,"Early Career",IF(Table1[[#This Row],[Age]]&lt;=45,"Mid Career","Senior")))</f>
        <v>Mid Career</v>
      </c>
      <c r="AK1030" t="str">
        <f>IF(Table1[[#This Row],[MonthlyIncome]]&lt;3000,"Low",IF(Table1[[#This Row],[MonthlyIncome]]&lt;7000,"Medium","High"))</f>
        <v>Low</v>
      </c>
      <c r="AL103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31" spans="1:38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tr">
        <f>IF(Table1[[#This Row],[Age]]&lt;=25,"Young",IF(Table1[[#This Row],[Age]]&lt;=35,"Early Career",IF(Table1[[#This Row],[Age]]&lt;=45,"Mid Career","Senior")))</f>
        <v>Mid Career</v>
      </c>
      <c r="AK1031" t="str">
        <f>IF(Table1[[#This Row],[MonthlyIncome]]&lt;3000,"Low",IF(Table1[[#This Row],[MonthlyIncome]]&lt;7000,"Medium","High"))</f>
        <v>Medium</v>
      </c>
      <c r="AL103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032" spans="1:38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tr">
        <f>IF(Table1[[#This Row],[Age]]&lt;=25,"Young",IF(Table1[[#This Row],[Age]]&lt;=35,"Early Career",IF(Table1[[#This Row],[Age]]&lt;=45,"Mid Career","Senior")))</f>
        <v>Early Career</v>
      </c>
      <c r="AK1032" t="str">
        <f>IF(Table1[[#This Row],[MonthlyIncome]]&lt;3000,"Low",IF(Table1[[#This Row],[MonthlyIncome]]&lt;7000,"Medium","High"))</f>
        <v>High</v>
      </c>
      <c r="AL1032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033" spans="1:38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tr">
        <f>IF(Table1[[#This Row],[Age]]&lt;=25,"Young",IF(Table1[[#This Row],[Age]]&lt;=35,"Early Career",IF(Table1[[#This Row],[Age]]&lt;=45,"Mid Career","Senior")))</f>
        <v>Senior</v>
      </c>
      <c r="AK1033" t="str">
        <f>IF(Table1[[#This Row],[MonthlyIncome]]&lt;3000,"Low",IF(Table1[[#This Row],[MonthlyIncome]]&lt;7000,"Medium","High"))</f>
        <v>High</v>
      </c>
      <c r="AL103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034" spans="1:38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tr">
        <f>IF(Table1[[#This Row],[Age]]&lt;=25,"Young",IF(Table1[[#This Row],[Age]]&lt;=35,"Early Career",IF(Table1[[#This Row],[Age]]&lt;=45,"Mid Career","Senior")))</f>
        <v>Mid Career</v>
      </c>
      <c r="AK1034" t="str">
        <f>IF(Table1[[#This Row],[MonthlyIncome]]&lt;3000,"Low",IF(Table1[[#This Row],[MonthlyIncome]]&lt;7000,"Medium","High"))</f>
        <v>Medium</v>
      </c>
      <c r="AL103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035" spans="1:38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tr">
        <f>IF(Table1[[#This Row],[Age]]&lt;=25,"Young",IF(Table1[[#This Row],[Age]]&lt;=35,"Early Career",IF(Table1[[#This Row],[Age]]&lt;=45,"Mid Career","Senior")))</f>
        <v>Early Career</v>
      </c>
      <c r="AK1035" t="str">
        <f>IF(Table1[[#This Row],[MonthlyIncome]]&lt;3000,"Low",IF(Table1[[#This Row],[MonthlyIncome]]&lt;7000,"Medium","High"))</f>
        <v>High</v>
      </c>
      <c r="AL103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036" spans="1:38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tr">
        <f>IF(Table1[[#This Row],[Age]]&lt;=25,"Young",IF(Table1[[#This Row],[Age]]&lt;=35,"Early Career",IF(Table1[[#This Row],[Age]]&lt;=45,"Mid Career","Senior")))</f>
        <v>Mid Career</v>
      </c>
      <c r="AK1036" t="str">
        <f>IF(Table1[[#This Row],[MonthlyIncome]]&lt;3000,"Low",IF(Table1[[#This Row],[MonthlyIncome]]&lt;7000,"Medium","High"))</f>
        <v>High</v>
      </c>
      <c r="AL103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037" spans="1:38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tr">
        <f>IF(Table1[[#This Row],[Age]]&lt;=25,"Young",IF(Table1[[#This Row],[Age]]&lt;=35,"Early Career",IF(Table1[[#This Row],[Age]]&lt;=45,"Mid Career","Senior")))</f>
        <v>Early Career</v>
      </c>
      <c r="AK1037" t="str">
        <f>IF(Table1[[#This Row],[MonthlyIncome]]&lt;3000,"Low",IF(Table1[[#This Row],[MonthlyIncome]]&lt;7000,"Medium","High"))</f>
        <v>Low</v>
      </c>
      <c r="AL103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38" spans="1:38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tr">
        <f>IF(Table1[[#This Row],[Age]]&lt;=25,"Young",IF(Table1[[#This Row],[Age]]&lt;=35,"Early Career",IF(Table1[[#This Row],[Age]]&lt;=45,"Mid Career","Senior")))</f>
        <v>Early Career</v>
      </c>
      <c r="AK1038" t="str">
        <f>IF(Table1[[#This Row],[MonthlyIncome]]&lt;3000,"Low",IF(Table1[[#This Row],[MonthlyIncome]]&lt;7000,"Medium","High"))</f>
        <v>Medium</v>
      </c>
      <c r="AL103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039" spans="1:38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tr">
        <f>IF(Table1[[#This Row],[Age]]&lt;=25,"Young",IF(Table1[[#This Row],[Age]]&lt;=35,"Early Career",IF(Table1[[#This Row],[Age]]&lt;=45,"Mid Career","Senior")))</f>
        <v>Mid Career</v>
      </c>
      <c r="AK1039" t="str">
        <f>IF(Table1[[#This Row],[MonthlyIncome]]&lt;3000,"Low",IF(Table1[[#This Row],[MonthlyIncome]]&lt;7000,"Medium","High"))</f>
        <v>High</v>
      </c>
      <c r="AL103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40" spans="1:38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tr">
        <f>IF(Table1[[#This Row],[Age]]&lt;=25,"Young",IF(Table1[[#This Row],[Age]]&lt;=35,"Early Career",IF(Table1[[#This Row],[Age]]&lt;=45,"Mid Career","Senior")))</f>
        <v>Senior</v>
      </c>
      <c r="AK1040" t="str">
        <f>IF(Table1[[#This Row],[MonthlyIncome]]&lt;3000,"Low",IF(Table1[[#This Row],[MonthlyIncome]]&lt;7000,"Medium","High"))</f>
        <v>Medium</v>
      </c>
      <c r="AL104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041" spans="1:38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tr">
        <f>IF(Table1[[#This Row],[Age]]&lt;=25,"Young",IF(Table1[[#This Row],[Age]]&lt;=35,"Early Career",IF(Table1[[#This Row],[Age]]&lt;=45,"Mid Career","Senior")))</f>
        <v>Early Career</v>
      </c>
      <c r="AK1041" t="str">
        <f>IF(Table1[[#This Row],[MonthlyIncome]]&lt;3000,"Low",IF(Table1[[#This Row],[MonthlyIncome]]&lt;7000,"Medium","High"))</f>
        <v>Low</v>
      </c>
      <c r="AL104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042" spans="1:38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tr">
        <f>IF(Table1[[#This Row],[Age]]&lt;=25,"Young",IF(Table1[[#This Row],[Age]]&lt;=35,"Early Career",IF(Table1[[#This Row],[Age]]&lt;=45,"Mid Career","Senior")))</f>
        <v>Mid Career</v>
      </c>
      <c r="AK1042" t="str">
        <f>IF(Table1[[#This Row],[MonthlyIncome]]&lt;3000,"Low",IF(Table1[[#This Row],[MonthlyIncome]]&lt;7000,"Medium","High"))</f>
        <v>High</v>
      </c>
      <c r="AL104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043" spans="1:38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tr">
        <f>IF(Table1[[#This Row],[Age]]&lt;=25,"Young",IF(Table1[[#This Row],[Age]]&lt;=35,"Early Career",IF(Table1[[#This Row],[Age]]&lt;=45,"Mid Career","Senior")))</f>
        <v>Early Career</v>
      </c>
      <c r="AK1043" t="str">
        <f>IF(Table1[[#This Row],[MonthlyIncome]]&lt;3000,"Low",IF(Table1[[#This Row],[MonthlyIncome]]&lt;7000,"Medium","High"))</f>
        <v>High</v>
      </c>
      <c r="AL1043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44" spans="1:38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tr">
        <f>IF(Table1[[#This Row],[Age]]&lt;=25,"Young",IF(Table1[[#This Row],[Age]]&lt;=35,"Early Career",IF(Table1[[#This Row],[Age]]&lt;=45,"Mid Career","Senior")))</f>
        <v>Mid Career</v>
      </c>
      <c r="AK1044" t="str">
        <f>IF(Table1[[#This Row],[MonthlyIncome]]&lt;3000,"Low",IF(Table1[[#This Row],[MonthlyIncome]]&lt;7000,"Medium","High"))</f>
        <v>Medium</v>
      </c>
      <c r="AL104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45" spans="1:38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tr">
        <f>IF(Table1[[#This Row],[Age]]&lt;=25,"Young",IF(Table1[[#This Row],[Age]]&lt;=35,"Early Career",IF(Table1[[#This Row],[Age]]&lt;=45,"Mid Career","Senior")))</f>
        <v>Senior</v>
      </c>
      <c r="AK1045" t="str">
        <f>IF(Table1[[#This Row],[MonthlyIncome]]&lt;3000,"Low",IF(Table1[[#This Row],[MonthlyIncome]]&lt;7000,"Medium","High"))</f>
        <v>High</v>
      </c>
      <c r="AL104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046" spans="1:38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tr">
        <f>IF(Table1[[#This Row],[Age]]&lt;=25,"Young",IF(Table1[[#This Row],[Age]]&lt;=35,"Early Career",IF(Table1[[#This Row],[Age]]&lt;=45,"Mid Career","Senior")))</f>
        <v>Senior</v>
      </c>
      <c r="AK1046" t="str">
        <f>IF(Table1[[#This Row],[MonthlyIncome]]&lt;3000,"Low",IF(Table1[[#This Row],[MonthlyIncome]]&lt;7000,"Medium","High"))</f>
        <v>Medium</v>
      </c>
      <c r="AL104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47" spans="1:38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tr">
        <f>IF(Table1[[#This Row],[Age]]&lt;=25,"Young",IF(Table1[[#This Row],[Age]]&lt;=35,"Early Career",IF(Table1[[#This Row],[Age]]&lt;=45,"Mid Career","Senior")))</f>
        <v>Mid Career</v>
      </c>
      <c r="AK1047" t="str">
        <f>IF(Table1[[#This Row],[MonthlyIncome]]&lt;3000,"Low",IF(Table1[[#This Row],[MonthlyIncome]]&lt;7000,"Medium","High"))</f>
        <v>Low</v>
      </c>
      <c r="AL104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48" spans="1:38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tr">
        <f>IF(Table1[[#This Row],[Age]]&lt;=25,"Young",IF(Table1[[#This Row],[Age]]&lt;=35,"Early Career",IF(Table1[[#This Row],[Age]]&lt;=45,"Mid Career","Senior")))</f>
        <v>Mid Career</v>
      </c>
      <c r="AK1048" t="str">
        <f>IF(Table1[[#This Row],[MonthlyIncome]]&lt;3000,"Low",IF(Table1[[#This Row],[MonthlyIncome]]&lt;7000,"Medium","High"))</f>
        <v>Medium</v>
      </c>
      <c r="AL104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49" spans="1:38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tr">
        <f>IF(Table1[[#This Row],[Age]]&lt;=25,"Young",IF(Table1[[#This Row],[Age]]&lt;=35,"Early Career",IF(Table1[[#This Row],[Age]]&lt;=45,"Mid Career","Senior")))</f>
        <v>Early Career</v>
      </c>
      <c r="AK1049" t="str">
        <f>IF(Table1[[#This Row],[MonthlyIncome]]&lt;3000,"Low",IF(Table1[[#This Row],[MonthlyIncome]]&lt;7000,"Medium","High"))</f>
        <v>Medium</v>
      </c>
      <c r="AL104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50" spans="1:38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tr">
        <f>IF(Table1[[#This Row],[Age]]&lt;=25,"Young",IF(Table1[[#This Row],[Age]]&lt;=35,"Early Career",IF(Table1[[#This Row],[Age]]&lt;=45,"Mid Career","Senior")))</f>
        <v>Early Career</v>
      </c>
      <c r="AK1050" t="str">
        <f>IF(Table1[[#This Row],[MonthlyIncome]]&lt;3000,"Low",IF(Table1[[#This Row],[MonthlyIncome]]&lt;7000,"Medium","High"))</f>
        <v>Medium</v>
      </c>
      <c r="AL1050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051" spans="1:38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tr">
        <f>IF(Table1[[#This Row],[Age]]&lt;=25,"Young",IF(Table1[[#This Row],[Age]]&lt;=35,"Early Career",IF(Table1[[#This Row],[Age]]&lt;=45,"Mid Career","Senior")))</f>
        <v>Early Career</v>
      </c>
      <c r="AK1051" t="str">
        <f>IF(Table1[[#This Row],[MonthlyIncome]]&lt;3000,"Low",IF(Table1[[#This Row],[MonthlyIncome]]&lt;7000,"Medium","High"))</f>
        <v>Medium</v>
      </c>
      <c r="AL105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052" spans="1:38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tr">
        <f>IF(Table1[[#This Row],[Age]]&lt;=25,"Young",IF(Table1[[#This Row],[Age]]&lt;=35,"Early Career",IF(Table1[[#This Row],[Age]]&lt;=45,"Mid Career","Senior")))</f>
        <v>Mid Career</v>
      </c>
      <c r="AK1052" t="str">
        <f>IF(Table1[[#This Row],[MonthlyIncome]]&lt;3000,"Low",IF(Table1[[#This Row],[MonthlyIncome]]&lt;7000,"Medium","High"))</f>
        <v>Medium</v>
      </c>
      <c r="AL1052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053" spans="1:38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tr">
        <f>IF(Table1[[#This Row],[Age]]&lt;=25,"Young",IF(Table1[[#This Row],[Age]]&lt;=35,"Early Career",IF(Table1[[#This Row],[Age]]&lt;=45,"Mid Career","Senior")))</f>
        <v>Mid Career</v>
      </c>
      <c r="AK1053" t="str">
        <f>IF(Table1[[#This Row],[MonthlyIncome]]&lt;3000,"Low",IF(Table1[[#This Row],[MonthlyIncome]]&lt;7000,"Medium","High"))</f>
        <v>Medium</v>
      </c>
      <c r="AL105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054" spans="1:38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tr">
        <f>IF(Table1[[#This Row],[Age]]&lt;=25,"Young",IF(Table1[[#This Row],[Age]]&lt;=35,"Early Career",IF(Table1[[#This Row],[Age]]&lt;=45,"Mid Career","Senior")))</f>
        <v>Early Career</v>
      </c>
      <c r="AK1054" t="str">
        <f>IF(Table1[[#This Row],[MonthlyIncome]]&lt;3000,"Low",IF(Table1[[#This Row],[MonthlyIncome]]&lt;7000,"Medium","High"))</f>
        <v>Low</v>
      </c>
      <c r="AL105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055" spans="1:38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tr">
        <f>IF(Table1[[#This Row],[Age]]&lt;=25,"Young",IF(Table1[[#This Row],[Age]]&lt;=35,"Early Career",IF(Table1[[#This Row],[Age]]&lt;=45,"Mid Career","Senior")))</f>
        <v>Senior</v>
      </c>
      <c r="AK1055" t="str">
        <f>IF(Table1[[#This Row],[MonthlyIncome]]&lt;3000,"Low",IF(Table1[[#This Row],[MonthlyIncome]]&lt;7000,"Medium","High"))</f>
        <v>Medium</v>
      </c>
      <c r="AL1055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056" spans="1:38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tr">
        <f>IF(Table1[[#This Row],[Age]]&lt;=25,"Young",IF(Table1[[#This Row],[Age]]&lt;=35,"Early Career",IF(Table1[[#This Row],[Age]]&lt;=45,"Mid Career","Senior")))</f>
        <v>Senior</v>
      </c>
      <c r="AK1056" t="str">
        <f>IF(Table1[[#This Row],[MonthlyIncome]]&lt;3000,"Low",IF(Table1[[#This Row],[MonthlyIncome]]&lt;7000,"Medium","High"))</f>
        <v>High</v>
      </c>
      <c r="AL105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057" spans="1:38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tr">
        <f>IF(Table1[[#This Row],[Age]]&lt;=25,"Young",IF(Table1[[#This Row],[Age]]&lt;=35,"Early Career",IF(Table1[[#This Row],[Age]]&lt;=45,"Mid Career","Senior")))</f>
        <v>Early Career</v>
      </c>
      <c r="AK1057" t="str">
        <f>IF(Table1[[#This Row],[MonthlyIncome]]&lt;3000,"Low",IF(Table1[[#This Row],[MonthlyIncome]]&lt;7000,"Medium","High"))</f>
        <v>High</v>
      </c>
      <c r="AL1057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058" spans="1:38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tr">
        <f>IF(Table1[[#This Row],[Age]]&lt;=25,"Young",IF(Table1[[#This Row],[Age]]&lt;=35,"Early Career",IF(Table1[[#This Row],[Age]]&lt;=45,"Mid Career","Senior")))</f>
        <v>Early Career</v>
      </c>
      <c r="AK1058" t="str">
        <f>IF(Table1[[#This Row],[MonthlyIncome]]&lt;3000,"Low",IF(Table1[[#This Row],[MonthlyIncome]]&lt;7000,"Medium","High"))</f>
        <v>Low</v>
      </c>
      <c r="AL105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59" spans="1:38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tr">
        <f>IF(Table1[[#This Row],[Age]]&lt;=25,"Young",IF(Table1[[#This Row],[Age]]&lt;=35,"Early Career",IF(Table1[[#This Row],[Age]]&lt;=45,"Mid Career","Senior")))</f>
        <v>Early Career</v>
      </c>
      <c r="AK1059" t="str">
        <f>IF(Table1[[#This Row],[MonthlyIncome]]&lt;3000,"Low",IF(Table1[[#This Row],[MonthlyIncome]]&lt;7000,"Medium","High"))</f>
        <v>Medium</v>
      </c>
      <c r="AL105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60" spans="1:38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tr">
        <f>IF(Table1[[#This Row],[Age]]&lt;=25,"Young",IF(Table1[[#This Row],[Age]]&lt;=35,"Early Career",IF(Table1[[#This Row],[Age]]&lt;=45,"Mid Career","Senior")))</f>
        <v>Early Career</v>
      </c>
      <c r="AK1060" t="str">
        <f>IF(Table1[[#This Row],[MonthlyIncome]]&lt;3000,"Low",IF(Table1[[#This Row],[MonthlyIncome]]&lt;7000,"Medium","High"))</f>
        <v>Medium</v>
      </c>
      <c r="AL1060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061" spans="1:38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tr">
        <f>IF(Table1[[#This Row],[Age]]&lt;=25,"Young",IF(Table1[[#This Row],[Age]]&lt;=35,"Early Career",IF(Table1[[#This Row],[Age]]&lt;=45,"Mid Career","Senior")))</f>
        <v>Early Career</v>
      </c>
      <c r="AK1061" t="str">
        <f>IF(Table1[[#This Row],[MonthlyIncome]]&lt;3000,"Low",IF(Table1[[#This Row],[MonthlyIncome]]&lt;7000,"Medium","High"))</f>
        <v>Low</v>
      </c>
      <c r="AL106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062" spans="1:38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tr">
        <f>IF(Table1[[#This Row],[Age]]&lt;=25,"Young",IF(Table1[[#This Row],[Age]]&lt;=35,"Early Career",IF(Table1[[#This Row],[Age]]&lt;=45,"Mid Career","Senior")))</f>
        <v>Young</v>
      </c>
      <c r="AK1062" t="str">
        <f>IF(Table1[[#This Row],[MonthlyIncome]]&lt;3000,"Low",IF(Table1[[#This Row],[MonthlyIncome]]&lt;7000,"Medium","High"))</f>
        <v>Medium</v>
      </c>
      <c r="AL106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063" spans="1:38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tr">
        <f>IF(Table1[[#This Row],[Age]]&lt;=25,"Young",IF(Table1[[#This Row],[Age]]&lt;=35,"Early Career",IF(Table1[[#This Row],[Age]]&lt;=45,"Mid Career","Senior")))</f>
        <v>Young</v>
      </c>
      <c r="AK1063" t="str">
        <f>IF(Table1[[#This Row],[MonthlyIncome]]&lt;3000,"Low",IF(Table1[[#This Row],[MonthlyIncome]]&lt;7000,"Medium","High"))</f>
        <v>Low</v>
      </c>
      <c r="AL106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064" spans="1:38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tr">
        <f>IF(Table1[[#This Row],[Age]]&lt;=25,"Young",IF(Table1[[#This Row],[Age]]&lt;=35,"Early Career",IF(Table1[[#This Row],[Age]]&lt;=45,"Mid Career","Senior")))</f>
        <v>Mid Career</v>
      </c>
      <c r="AK1064" t="str">
        <f>IF(Table1[[#This Row],[MonthlyIncome]]&lt;3000,"Low",IF(Table1[[#This Row],[MonthlyIncome]]&lt;7000,"Medium","High"))</f>
        <v>High</v>
      </c>
      <c r="AL106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065" spans="1:38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tr">
        <f>IF(Table1[[#This Row],[Age]]&lt;=25,"Young",IF(Table1[[#This Row],[Age]]&lt;=35,"Early Career",IF(Table1[[#This Row],[Age]]&lt;=45,"Mid Career","Senior")))</f>
        <v>Early Career</v>
      </c>
      <c r="AK1065" t="str">
        <f>IF(Table1[[#This Row],[MonthlyIncome]]&lt;3000,"Low",IF(Table1[[#This Row],[MonthlyIncome]]&lt;7000,"Medium","High"))</f>
        <v>High</v>
      </c>
      <c r="AL106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066" spans="1:38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tr">
        <f>IF(Table1[[#This Row],[Age]]&lt;=25,"Young",IF(Table1[[#This Row],[Age]]&lt;=35,"Early Career",IF(Table1[[#This Row],[Age]]&lt;=45,"Mid Career","Senior")))</f>
        <v>Early Career</v>
      </c>
      <c r="AK1066" t="str">
        <f>IF(Table1[[#This Row],[MonthlyIncome]]&lt;3000,"Low",IF(Table1[[#This Row],[MonthlyIncome]]&lt;7000,"Medium","High"))</f>
        <v>Low</v>
      </c>
      <c r="AL106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67" spans="1:38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tr">
        <f>IF(Table1[[#This Row],[Age]]&lt;=25,"Young",IF(Table1[[#This Row],[Age]]&lt;=35,"Early Career",IF(Table1[[#This Row],[Age]]&lt;=45,"Mid Career","Senior")))</f>
        <v>Senior</v>
      </c>
      <c r="AK1067" t="str">
        <f>IF(Table1[[#This Row],[MonthlyIncome]]&lt;3000,"Low",IF(Table1[[#This Row],[MonthlyIncome]]&lt;7000,"Medium","High"))</f>
        <v>Medium</v>
      </c>
      <c r="AL106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68" spans="1:38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tr">
        <f>IF(Table1[[#This Row],[Age]]&lt;=25,"Young",IF(Table1[[#This Row],[Age]]&lt;=35,"Early Career",IF(Table1[[#This Row],[Age]]&lt;=45,"Mid Career","Senior")))</f>
        <v>Early Career</v>
      </c>
      <c r="AK1068" t="str">
        <f>IF(Table1[[#This Row],[MonthlyIncome]]&lt;3000,"Low",IF(Table1[[#This Row],[MonthlyIncome]]&lt;7000,"Medium","High"))</f>
        <v>Medium</v>
      </c>
      <c r="AL106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69" spans="1:38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tr">
        <f>IF(Table1[[#This Row],[Age]]&lt;=25,"Young",IF(Table1[[#This Row],[Age]]&lt;=35,"Early Career",IF(Table1[[#This Row],[Age]]&lt;=45,"Mid Career","Senior")))</f>
        <v>Senior</v>
      </c>
      <c r="AK1069" t="str">
        <f>IF(Table1[[#This Row],[MonthlyIncome]]&lt;3000,"Low",IF(Table1[[#This Row],[MonthlyIncome]]&lt;7000,"Medium","High"))</f>
        <v>Medium</v>
      </c>
      <c r="AL106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70" spans="1:38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tr">
        <f>IF(Table1[[#This Row],[Age]]&lt;=25,"Young",IF(Table1[[#This Row],[Age]]&lt;=35,"Early Career",IF(Table1[[#This Row],[Age]]&lt;=45,"Mid Career","Senior")))</f>
        <v>Early Career</v>
      </c>
      <c r="AK1070" t="str">
        <f>IF(Table1[[#This Row],[MonthlyIncome]]&lt;3000,"Low",IF(Table1[[#This Row],[MonthlyIncome]]&lt;7000,"Medium","High"))</f>
        <v>Low</v>
      </c>
      <c r="AL107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071" spans="1:38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tr">
        <f>IF(Table1[[#This Row],[Age]]&lt;=25,"Young",IF(Table1[[#This Row],[Age]]&lt;=35,"Early Career",IF(Table1[[#This Row],[Age]]&lt;=45,"Mid Career","Senior")))</f>
        <v>Early Career</v>
      </c>
      <c r="AK1071" t="str">
        <f>IF(Table1[[#This Row],[MonthlyIncome]]&lt;3000,"Low",IF(Table1[[#This Row],[MonthlyIncome]]&lt;7000,"Medium","High"))</f>
        <v>Low</v>
      </c>
      <c r="AL107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072" spans="1:38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tr">
        <f>IF(Table1[[#This Row],[Age]]&lt;=25,"Young",IF(Table1[[#This Row],[Age]]&lt;=35,"Early Career",IF(Table1[[#This Row],[Age]]&lt;=45,"Mid Career","Senior")))</f>
        <v>Early Career</v>
      </c>
      <c r="AK1072" t="str">
        <f>IF(Table1[[#This Row],[MonthlyIncome]]&lt;3000,"Low",IF(Table1[[#This Row],[MonthlyIncome]]&lt;7000,"Medium","High"))</f>
        <v>Medium</v>
      </c>
      <c r="AL107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73" spans="1:38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tr">
        <f>IF(Table1[[#This Row],[Age]]&lt;=25,"Young",IF(Table1[[#This Row],[Age]]&lt;=35,"Early Career",IF(Table1[[#This Row],[Age]]&lt;=45,"Mid Career","Senior")))</f>
        <v>Senior</v>
      </c>
      <c r="AK1073" t="str">
        <f>IF(Table1[[#This Row],[MonthlyIncome]]&lt;3000,"Low",IF(Table1[[#This Row],[MonthlyIncome]]&lt;7000,"Medium","High"))</f>
        <v>Medium</v>
      </c>
      <c r="AL1073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74" spans="1:38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tr">
        <f>IF(Table1[[#This Row],[Age]]&lt;=25,"Young",IF(Table1[[#This Row],[Age]]&lt;=35,"Early Career",IF(Table1[[#This Row],[Age]]&lt;=45,"Mid Career","Senior")))</f>
        <v>Early Career</v>
      </c>
      <c r="AK1074" t="str">
        <f>IF(Table1[[#This Row],[MonthlyIncome]]&lt;3000,"Low",IF(Table1[[#This Row],[MonthlyIncome]]&lt;7000,"Medium","High"))</f>
        <v>Medium</v>
      </c>
      <c r="AL107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75" spans="1:38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tr">
        <f>IF(Table1[[#This Row],[Age]]&lt;=25,"Young",IF(Table1[[#This Row],[Age]]&lt;=35,"Early Career",IF(Table1[[#This Row],[Age]]&lt;=45,"Mid Career","Senior")))</f>
        <v>Early Career</v>
      </c>
      <c r="AK1075" t="str">
        <f>IF(Table1[[#This Row],[MonthlyIncome]]&lt;3000,"Low",IF(Table1[[#This Row],[MonthlyIncome]]&lt;7000,"Medium","High"))</f>
        <v>Medium</v>
      </c>
      <c r="AL107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076" spans="1:38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tr">
        <f>IF(Table1[[#This Row],[Age]]&lt;=25,"Young",IF(Table1[[#This Row],[Age]]&lt;=35,"Early Career",IF(Table1[[#This Row],[Age]]&lt;=45,"Mid Career","Senior")))</f>
        <v>Early Career</v>
      </c>
      <c r="AK1076" t="str">
        <f>IF(Table1[[#This Row],[MonthlyIncome]]&lt;3000,"Low",IF(Table1[[#This Row],[MonthlyIncome]]&lt;7000,"Medium","High"))</f>
        <v>Medium</v>
      </c>
      <c r="AL1076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077" spans="1:38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tr">
        <f>IF(Table1[[#This Row],[Age]]&lt;=25,"Young",IF(Table1[[#This Row],[Age]]&lt;=35,"Early Career",IF(Table1[[#This Row],[Age]]&lt;=45,"Mid Career","Senior")))</f>
        <v>Early Career</v>
      </c>
      <c r="AK1077" t="str">
        <f>IF(Table1[[#This Row],[MonthlyIncome]]&lt;3000,"Low",IF(Table1[[#This Row],[MonthlyIncome]]&lt;7000,"Medium","High"))</f>
        <v>High</v>
      </c>
      <c r="AL107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78" spans="1:38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tr">
        <f>IF(Table1[[#This Row],[Age]]&lt;=25,"Young",IF(Table1[[#This Row],[Age]]&lt;=35,"Early Career",IF(Table1[[#This Row],[Age]]&lt;=45,"Mid Career","Senior")))</f>
        <v>Senior</v>
      </c>
      <c r="AK1078" t="str">
        <f>IF(Table1[[#This Row],[MonthlyIncome]]&lt;3000,"Low",IF(Table1[[#This Row],[MonthlyIncome]]&lt;7000,"Medium","High"))</f>
        <v>High</v>
      </c>
      <c r="AL1078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079" spans="1:38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tr">
        <f>IF(Table1[[#This Row],[Age]]&lt;=25,"Young",IF(Table1[[#This Row],[Age]]&lt;=35,"Early Career",IF(Table1[[#This Row],[Age]]&lt;=45,"Mid Career","Senior")))</f>
        <v>Early Career</v>
      </c>
      <c r="AK1079" t="str">
        <f>IF(Table1[[#This Row],[MonthlyIncome]]&lt;3000,"Low",IF(Table1[[#This Row],[MonthlyIncome]]&lt;7000,"Medium","High"))</f>
        <v>Low</v>
      </c>
      <c r="AL1079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080" spans="1:38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tr">
        <f>IF(Table1[[#This Row],[Age]]&lt;=25,"Young",IF(Table1[[#This Row],[Age]]&lt;=35,"Early Career",IF(Table1[[#This Row],[Age]]&lt;=45,"Mid Career","Senior")))</f>
        <v>Mid Career</v>
      </c>
      <c r="AK1080" t="str">
        <f>IF(Table1[[#This Row],[MonthlyIncome]]&lt;3000,"Low",IF(Table1[[#This Row],[MonthlyIncome]]&lt;7000,"Medium","High"))</f>
        <v>High</v>
      </c>
      <c r="AL1080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081" spans="1:38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tr">
        <f>IF(Table1[[#This Row],[Age]]&lt;=25,"Young",IF(Table1[[#This Row],[Age]]&lt;=35,"Early Career",IF(Table1[[#This Row],[Age]]&lt;=45,"Mid Career","Senior")))</f>
        <v>Mid Career</v>
      </c>
      <c r="AK1081" t="str">
        <f>IF(Table1[[#This Row],[MonthlyIncome]]&lt;3000,"Low",IF(Table1[[#This Row],[MonthlyIncome]]&lt;7000,"Medium","High"))</f>
        <v>High</v>
      </c>
      <c r="AL108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082" spans="1:38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tr">
        <f>IF(Table1[[#This Row],[Age]]&lt;=25,"Young",IF(Table1[[#This Row],[Age]]&lt;=35,"Early Career",IF(Table1[[#This Row],[Age]]&lt;=45,"Mid Career","Senior")))</f>
        <v>Senior</v>
      </c>
      <c r="AK1082" t="str">
        <f>IF(Table1[[#This Row],[MonthlyIncome]]&lt;3000,"Low",IF(Table1[[#This Row],[MonthlyIncome]]&lt;7000,"Medium","High"))</f>
        <v>High</v>
      </c>
      <c r="AL1082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083" spans="1:38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tr">
        <f>IF(Table1[[#This Row],[Age]]&lt;=25,"Young",IF(Table1[[#This Row],[Age]]&lt;=35,"Early Career",IF(Table1[[#This Row],[Age]]&lt;=45,"Mid Career","Senior")))</f>
        <v>Early Career</v>
      </c>
      <c r="AK1083" t="str">
        <f>IF(Table1[[#This Row],[MonthlyIncome]]&lt;3000,"Low",IF(Table1[[#This Row],[MonthlyIncome]]&lt;7000,"Medium","High"))</f>
        <v>High</v>
      </c>
      <c r="AL1083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084" spans="1:38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tr">
        <f>IF(Table1[[#This Row],[Age]]&lt;=25,"Young",IF(Table1[[#This Row],[Age]]&lt;=35,"Early Career",IF(Table1[[#This Row],[Age]]&lt;=45,"Mid Career","Senior")))</f>
        <v>Young</v>
      </c>
      <c r="AK1084" t="str">
        <f>IF(Table1[[#This Row],[MonthlyIncome]]&lt;3000,"Low",IF(Table1[[#This Row],[MonthlyIncome]]&lt;7000,"Medium","High"))</f>
        <v>Low</v>
      </c>
      <c r="AL108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85" spans="1:38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tr">
        <f>IF(Table1[[#This Row],[Age]]&lt;=25,"Young",IF(Table1[[#This Row],[Age]]&lt;=35,"Early Career",IF(Table1[[#This Row],[Age]]&lt;=45,"Mid Career","Senior")))</f>
        <v>Mid Career</v>
      </c>
      <c r="AK1085" t="str">
        <f>IF(Table1[[#This Row],[MonthlyIncome]]&lt;3000,"Low",IF(Table1[[#This Row],[MonthlyIncome]]&lt;7000,"Medium","High"))</f>
        <v>Low</v>
      </c>
      <c r="AL108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86" spans="1:38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tr">
        <f>IF(Table1[[#This Row],[Age]]&lt;=25,"Young",IF(Table1[[#This Row],[Age]]&lt;=35,"Early Career",IF(Table1[[#This Row],[Age]]&lt;=45,"Mid Career","Senior")))</f>
        <v>Early Career</v>
      </c>
      <c r="AK1086" t="str">
        <f>IF(Table1[[#This Row],[MonthlyIncome]]&lt;3000,"Low",IF(Table1[[#This Row],[MonthlyIncome]]&lt;7000,"Medium","High"))</f>
        <v>High</v>
      </c>
      <c r="AL108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087" spans="1:38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tr">
        <f>IF(Table1[[#This Row],[Age]]&lt;=25,"Young",IF(Table1[[#This Row],[Age]]&lt;=35,"Early Career",IF(Table1[[#This Row],[Age]]&lt;=45,"Mid Career","Senior")))</f>
        <v>Early Career</v>
      </c>
      <c r="AK1087" t="str">
        <f>IF(Table1[[#This Row],[MonthlyIncome]]&lt;3000,"Low",IF(Table1[[#This Row],[MonthlyIncome]]&lt;7000,"Medium","High"))</f>
        <v>Medium</v>
      </c>
      <c r="AL108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088" spans="1:38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tr">
        <f>IF(Table1[[#This Row],[Age]]&lt;=25,"Young",IF(Table1[[#This Row],[Age]]&lt;=35,"Early Career",IF(Table1[[#This Row],[Age]]&lt;=45,"Mid Career","Senior")))</f>
        <v>Senior</v>
      </c>
      <c r="AK1088" t="str">
        <f>IF(Table1[[#This Row],[MonthlyIncome]]&lt;3000,"Low",IF(Table1[[#This Row],[MonthlyIncome]]&lt;7000,"Medium","High"))</f>
        <v>High</v>
      </c>
      <c r="AL1088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089" spans="1:38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tr">
        <f>IF(Table1[[#This Row],[Age]]&lt;=25,"Young",IF(Table1[[#This Row],[Age]]&lt;=35,"Early Career",IF(Table1[[#This Row],[Age]]&lt;=45,"Mid Career","Senior")))</f>
        <v>Early Career</v>
      </c>
      <c r="AK1089" t="str">
        <f>IF(Table1[[#This Row],[MonthlyIncome]]&lt;3000,"Low",IF(Table1[[#This Row],[MonthlyIncome]]&lt;7000,"Medium","High"))</f>
        <v>Low</v>
      </c>
      <c r="AL1089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090" spans="1:38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tr">
        <f>IF(Table1[[#This Row],[Age]]&lt;=25,"Young",IF(Table1[[#This Row],[Age]]&lt;=35,"Early Career",IF(Table1[[#This Row],[Age]]&lt;=45,"Mid Career","Senior")))</f>
        <v>Mid Career</v>
      </c>
      <c r="AK1090" t="str">
        <f>IF(Table1[[#This Row],[MonthlyIncome]]&lt;3000,"Low",IF(Table1[[#This Row],[MonthlyIncome]]&lt;7000,"Medium","High"))</f>
        <v>Medium</v>
      </c>
      <c r="AL109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091" spans="1:38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tr">
        <f>IF(Table1[[#This Row],[Age]]&lt;=25,"Young",IF(Table1[[#This Row],[Age]]&lt;=35,"Early Career",IF(Table1[[#This Row],[Age]]&lt;=45,"Mid Career","Senior")))</f>
        <v>Mid Career</v>
      </c>
      <c r="AK1091" t="str">
        <f>IF(Table1[[#This Row],[MonthlyIncome]]&lt;3000,"Low",IF(Table1[[#This Row],[MonthlyIncome]]&lt;7000,"Medium","High"))</f>
        <v>Medium</v>
      </c>
      <c r="AL109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092" spans="1:38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tr">
        <f>IF(Table1[[#This Row],[Age]]&lt;=25,"Young",IF(Table1[[#This Row],[Age]]&lt;=35,"Early Career",IF(Table1[[#This Row],[Age]]&lt;=45,"Mid Career","Senior")))</f>
        <v>Early Career</v>
      </c>
      <c r="AK1092" t="str">
        <f>IF(Table1[[#This Row],[MonthlyIncome]]&lt;3000,"Low",IF(Table1[[#This Row],[MonthlyIncome]]&lt;7000,"Medium","High"))</f>
        <v>High</v>
      </c>
      <c r="AL109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093" spans="1:38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tr">
        <f>IF(Table1[[#This Row],[Age]]&lt;=25,"Young",IF(Table1[[#This Row],[Age]]&lt;=35,"Early Career",IF(Table1[[#This Row],[Age]]&lt;=45,"Mid Career","Senior")))</f>
        <v>Early Career</v>
      </c>
      <c r="AK1093" t="str">
        <f>IF(Table1[[#This Row],[MonthlyIncome]]&lt;3000,"Low",IF(Table1[[#This Row],[MonthlyIncome]]&lt;7000,"Medium","High"))</f>
        <v>Medium</v>
      </c>
      <c r="AL1093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94" spans="1:38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tr">
        <f>IF(Table1[[#This Row],[Age]]&lt;=25,"Young",IF(Table1[[#This Row],[Age]]&lt;=35,"Early Career",IF(Table1[[#This Row],[Age]]&lt;=45,"Mid Career","Senior")))</f>
        <v>Mid Career</v>
      </c>
      <c r="AK1094" t="str">
        <f>IF(Table1[[#This Row],[MonthlyIncome]]&lt;3000,"Low",IF(Table1[[#This Row],[MonthlyIncome]]&lt;7000,"Medium","High"))</f>
        <v>Low</v>
      </c>
      <c r="AL109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095" spans="1:38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tr">
        <f>IF(Table1[[#This Row],[Age]]&lt;=25,"Young",IF(Table1[[#This Row],[Age]]&lt;=35,"Early Career",IF(Table1[[#This Row],[Age]]&lt;=45,"Mid Career","Senior")))</f>
        <v>Mid Career</v>
      </c>
      <c r="AK1095" t="str">
        <f>IF(Table1[[#This Row],[MonthlyIncome]]&lt;3000,"Low",IF(Table1[[#This Row],[MonthlyIncome]]&lt;7000,"Medium","High"))</f>
        <v>High</v>
      </c>
      <c r="AL1095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096" spans="1:38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tr">
        <f>IF(Table1[[#This Row],[Age]]&lt;=25,"Young",IF(Table1[[#This Row],[Age]]&lt;=35,"Early Career",IF(Table1[[#This Row],[Age]]&lt;=45,"Mid Career","Senior")))</f>
        <v>Mid Career</v>
      </c>
      <c r="AK1096" t="str">
        <f>IF(Table1[[#This Row],[MonthlyIncome]]&lt;3000,"Low",IF(Table1[[#This Row],[MonthlyIncome]]&lt;7000,"Medium","High"))</f>
        <v>Medium</v>
      </c>
      <c r="AL109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097" spans="1:38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tr">
        <f>IF(Table1[[#This Row],[Age]]&lt;=25,"Young",IF(Table1[[#This Row],[Age]]&lt;=35,"Early Career",IF(Table1[[#This Row],[Age]]&lt;=45,"Mid Career","Senior")))</f>
        <v>Early Career</v>
      </c>
      <c r="AK1097" t="str">
        <f>IF(Table1[[#This Row],[MonthlyIncome]]&lt;3000,"Low",IF(Table1[[#This Row],[MonthlyIncome]]&lt;7000,"Medium","High"))</f>
        <v>Medium</v>
      </c>
      <c r="AL1097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098" spans="1:38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tr">
        <f>IF(Table1[[#This Row],[Age]]&lt;=25,"Young",IF(Table1[[#This Row],[Age]]&lt;=35,"Early Career",IF(Table1[[#This Row],[Age]]&lt;=45,"Mid Career","Senior")))</f>
        <v>Mid Career</v>
      </c>
      <c r="AK1098" t="str">
        <f>IF(Table1[[#This Row],[MonthlyIncome]]&lt;3000,"Low",IF(Table1[[#This Row],[MonthlyIncome]]&lt;7000,"Medium","High"))</f>
        <v>High</v>
      </c>
      <c r="AL1098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099" spans="1:38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tr">
        <f>IF(Table1[[#This Row],[Age]]&lt;=25,"Young",IF(Table1[[#This Row],[Age]]&lt;=35,"Early Career",IF(Table1[[#This Row],[Age]]&lt;=45,"Mid Career","Senior")))</f>
        <v>Young</v>
      </c>
      <c r="AK1099" t="str">
        <f>IF(Table1[[#This Row],[MonthlyIncome]]&lt;3000,"Low",IF(Table1[[#This Row],[MonthlyIncome]]&lt;7000,"Medium","High"))</f>
        <v>Low</v>
      </c>
      <c r="AL109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100" spans="1:38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tr">
        <f>IF(Table1[[#This Row],[Age]]&lt;=25,"Young",IF(Table1[[#This Row],[Age]]&lt;=35,"Early Career",IF(Table1[[#This Row],[Age]]&lt;=45,"Mid Career","Senior")))</f>
        <v>Mid Career</v>
      </c>
      <c r="AK1100" t="str">
        <f>IF(Table1[[#This Row],[MonthlyIncome]]&lt;3000,"Low",IF(Table1[[#This Row],[MonthlyIncome]]&lt;7000,"Medium","High"))</f>
        <v>Medium</v>
      </c>
      <c r="AL110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101" spans="1:38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tr">
        <f>IF(Table1[[#This Row],[Age]]&lt;=25,"Young",IF(Table1[[#This Row],[Age]]&lt;=35,"Early Career",IF(Table1[[#This Row],[Age]]&lt;=45,"Mid Career","Senior")))</f>
        <v>Mid Career</v>
      </c>
      <c r="AK1101" t="str">
        <f>IF(Table1[[#This Row],[MonthlyIncome]]&lt;3000,"Low",IF(Table1[[#This Row],[MonthlyIncome]]&lt;7000,"Medium","High"))</f>
        <v>High</v>
      </c>
      <c r="AL110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02" spans="1:38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tr">
        <f>IF(Table1[[#This Row],[Age]]&lt;=25,"Young",IF(Table1[[#This Row],[Age]]&lt;=35,"Early Career",IF(Table1[[#This Row],[Age]]&lt;=45,"Mid Career","Senior")))</f>
        <v>Early Career</v>
      </c>
      <c r="AK1102" t="str">
        <f>IF(Table1[[#This Row],[MonthlyIncome]]&lt;3000,"Low",IF(Table1[[#This Row],[MonthlyIncome]]&lt;7000,"Medium","High"))</f>
        <v>Low</v>
      </c>
      <c r="AL110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03" spans="1:38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tr">
        <f>IF(Table1[[#This Row],[Age]]&lt;=25,"Young",IF(Table1[[#This Row],[Age]]&lt;=35,"Early Career",IF(Table1[[#This Row],[Age]]&lt;=45,"Mid Career","Senior")))</f>
        <v>Early Career</v>
      </c>
      <c r="AK1103" t="str">
        <f>IF(Table1[[#This Row],[MonthlyIncome]]&lt;3000,"Low",IF(Table1[[#This Row],[MonthlyIncome]]&lt;7000,"Medium","High"))</f>
        <v>Medium</v>
      </c>
      <c r="AL110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04" spans="1:38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tr">
        <f>IF(Table1[[#This Row],[Age]]&lt;=25,"Young",IF(Table1[[#This Row],[Age]]&lt;=35,"Early Career",IF(Table1[[#This Row],[Age]]&lt;=45,"Mid Career","Senior")))</f>
        <v>Mid Career</v>
      </c>
      <c r="AK1104" t="str">
        <f>IF(Table1[[#This Row],[MonthlyIncome]]&lt;3000,"Low",IF(Table1[[#This Row],[MonthlyIncome]]&lt;7000,"Medium","High"))</f>
        <v>Low</v>
      </c>
      <c r="AL110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05" spans="1:38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tr">
        <f>IF(Table1[[#This Row],[Age]]&lt;=25,"Young",IF(Table1[[#This Row],[Age]]&lt;=35,"Early Career",IF(Table1[[#This Row],[Age]]&lt;=45,"Mid Career","Senior")))</f>
        <v>Senior</v>
      </c>
      <c r="AK1105" t="str">
        <f>IF(Table1[[#This Row],[MonthlyIncome]]&lt;3000,"Low",IF(Table1[[#This Row],[MonthlyIncome]]&lt;7000,"Medium","High"))</f>
        <v>Medium</v>
      </c>
      <c r="AL110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06" spans="1:38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tr">
        <f>IF(Table1[[#This Row],[Age]]&lt;=25,"Young",IF(Table1[[#This Row],[Age]]&lt;=35,"Early Career",IF(Table1[[#This Row],[Age]]&lt;=45,"Mid Career","Senior")))</f>
        <v>Early Career</v>
      </c>
      <c r="AK1106" t="str">
        <f>IF(Table1[[#This Row],[MonthlyIncome]]&lt;3000,"Low",IF(Table1[[#This Row],[MonthlyIncome]]&lt;7000,"Medium","High"))</f>
        <v>Low</v>
      </c>
      <c r="AL1106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107" spans="1:38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tr">
        <f>IF(Table1[[#This Row],[Age]]&lt;=25,"Young",IF(Table1[[#This Row],[Age]]&lt;=35,"Early Career",IF(Table1[[#This Row],[Age]]&lt;=45,"Mid Career","Senior")))</f>
        <v>Early Career</v>
      </c>
      <c r="AK1107" t="str">
        <f>IF(Table1[[#This Row],[MonthlyIncome]]&lt;3000,"Low",IF(Table1[[#This Row],[MonthlyIncome]]&lt;7000,"Medium","High"))</f>
        <v>Medium</v>
      </c>
      <c r="AL110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108" spans="1:38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tr">
        <f>IF(Table1[[#This Row],[Age]]&lt;=25,"Young",IF(Table1[[#This Row],[Age]]&lt;=35,"Early Career",IF(Table1[[#This Row],[Age]]&lt;=45,"Mid Career","Senior")))</f>
        <v>Early Career</v>
      </c>
      <c r="AK1108" t="str">
        <f>IF(Table1[[#This Row],[MonthlyIncome]]&lt;3000,"Low",IF(Table1[[#This Row],[MonthlyIncome]]&lt;7000,"Medium","High"))</f>
        <v>High</v>
      </c>
      <c r="AL110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09" spans="1:38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tr">
        <f>IF(Table1[[#This Row],[Age]]&lt;=25,"Young",IF(Table1[[#This Row],[Age]]&lt;=35,"Early Career",IF(Table1[[#This Row],[Age]]&lt;=45,"Mid Career","Senior")))</f>
        <v>Mid Career</v>
      </c>
      <c r="AK1109" t="str">
        <f>IF(Table1[[#This Row],[MonthlyIncome]]&lt;3000,"Low",IF(Table1[[#This Row],[MonthlyIncome]]&lt;7000,"Medium","High"))</f>
        <v>Medium</v>
      </c>
      <c r="AL1109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10" spans="1:38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tr">
        <f>IF(Table1[[#This Row],[Age]]&lt;=25,"Young",IF(Table1[[#This Row],[Age]]&lt;=35,"Early Career",IF(Table1[[#This Row],[Age]]&lt;=45,"Mid Career","Senior")))</f>
        <v>Early Career</v>
      </c>
      <c r="AK1110" t="str">
        <f>IF(Table1[[#This Row],[MonthlyIncome]]&lt;3000,"Low",IF(Table1[[#This Row],[MonthlyIncome]]&lt;7000,"Medium","High"))</f>
        <v>Low</v>
      </c>
      <c r="AL111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11" spans="1:38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tr">
        <f>IF(Table1[[#This Row],[Age]]&lt;=25,"Young",IF(Table1[[#This Row],[Age]]&lt;=35,"Early Career",IF(Table1[[#This Row],[Age]]&lt;=45,"Mid Career","Senior")))</f>
        <v>Early Career</v>
      </c>
      <c r="AK1111" t="str">
        <f>IF(Table1[[#This Row],[MonthlyIncome]]&lt;3000,"Low",IF(Table1[[#This Row],[MonthlyIncome]]&lt;7000,"Medium","High"))</f>
        <v>High</v>
      </c>
      <c r="AL111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12" spans="1:38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tr">
        <f>IF(Table1[[#This Row],[Age]]&lt;=25,"Young",IF(Table1[[#This Row],[Age]]&lt;=35,"Early Career",IF(Table1[[#This Row],[Age]]&lt;=45,"Mid Career","Senior")))</f>
        <v>Early Career</v>
      </c>
      <c r="AK1112" t="str">
        <f>IF(Table1[[#This Row],[MonthlyIncome]]&lt;3000,"Low",IF(Table1[[#This Row],[MonthlyIncome]]&lt;7000,"Medium","High"))</f>
        <v>Low</v>
      </c>
      <c r="AL111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113" spans="1:38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tr">
        <f>IF(Table1[[#This Row],[Age]]&lt;=25,"Young",IF(Table1[[#This Row],[Age]]&lt;=35,"Early Career",IF(Table1[[#This Row],[Age]]&lt;=45,"Mid Career","Senior")))</f>
        <v>Senior</v>
      </c>
      <c r="AK1113" t="str">
        <f>IF(Table1[[#This Row],[MonthlyIncome]]&lt;3000,"Low",IF(Table1[[#This Row],[MonthlyIncome]]&lt;7000,"Medium","High"))</f>
        <v>High</v>
      </c>
      <c r="AL1113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114" spans="1:38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tr">
        <f>IF(Table1[[#This Row],[Age]]&lt;=25,"Young",IF(Table1[[#This Row],[Age]]&lt;=35,"Early Career",IF(Table1[[#This Row],[Age]]&lt;=45,"Mid Career","Senior")))</f>
        <v>Mid Career</v>
      </c>
      <c r="AK1114" t="str">
        <f>IF(Table1[[#This Row],[MonthlyIncome]]&lt;3000,"Low",IF(Table1[[#This Row],[MonthlyIncome]]&lt;7000,"Medium","High"))</f>
        <v>Medium</v>
      </c>
      <c r="AL111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15" spans="1:38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tr">
        <f>IF(Table1[[#This Row],[Age]]&lt;=25,"Young",IF(Table1[[#This Row],[Age]]&lt;=35,"Early Career",IF(Table1[[#This Row],[Age]]&lt;=45,"Mid Career","Senior")))</f>
        <v>Early Career</v>
      </c>
      <c r="AK1115" t="str">
        <f>IF(Table1[[#This Row],[MonthlyIncome]]&lt;3000,"Low",IF(Table1[[#This Row],[MonthlyIncome]]&lt;7000,"Medium","High"))</f>
        <v>Medium</v>
      </c>
      <c r="AL111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16" spans="1:38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tr">
        <f>IF(Table1[[#This Row],[Age]]&lt;=25,"Young",IF(Table1[[#This Row],[Age]]&lt;=35,"Early Career",IF(Table1[[#This Row],[Age]]&lt;=45,"Mid Career","Senior")))</f>
        <v>Senior</v>
      </c>
      <c r="AK1116" t="str">
        <f>IF(Table1[[#This Row],[MonthlyIncome]]&lt;3000,"Low",IF(Table1[[#This Row],[MonthlyIncome]]&lt;7000,"Medium","High"))</f>
        <v>Low</v>
      </c>
      <c r="AL111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17" spans="1:38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tr">
        <f>IF(Table1[[#This Row],[Age]]&lt;=25,"Young",IF(Table1[[#This Row],[Age]]&lt;=35,"Early Career",IF(Table1[[#This Row],[Age]]&lt;=45,"Mid Career","Senior")))</f>
        <v>Early Career</v>
      </c>
      <c r="AK1117" t="str">
        <f>IF(Table1[[#This Row],[MonthlyIncome]]&lt;3000,"Low",IF(Table1[[#This Row],[MonthlyIncome]]&lt;7000,"Medium","High"))</f>
        <v>Low</v>
      </c>
      <c r="AL111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118" spans="1:38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tr">
        <f>IF(Table1[[#This Row],[Age]]&lt;=25,"Young",IF(Table1[[#This Row],[Age]]&lt;=35,"Early Career",IF(Table1[[#This Row],[Age]]&lt;=45,"Mid Career","Senior")))</f>
        <v>Senior</v>
      </c>
      <c r="AK1118" t="str">
        <f>IF(Table1[[#This Row],[MonthlyIncome]]&lt;3000,"Low",IF(Table1[[#This Row],[MonthlyIncome]]&lt;7000,"Medium","High"))</f>
        <v>High</v>
      </c>
      <c r="AL1118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119" spans="1:38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tr">
        <f>IF(Table1[[#This Row],[Age]]&lt;=25,"Young",IF(Table1[[#This Row],[Age]]&lt;=35,"Early Career",IF(Table1[[#This Row],[Age]]&lt;=45,"Mid Career","Senior")))</f>
        <v>Early Career</v>
      </c>
      <c r="AK1119" t="str">
        <f>IF(Table1[[#This Row],[MonthlyIncome]]&lt;3000,"Low",IF(Table1[[#This Row],[MonthlyIncome]]&lt;7000,"Medium","High"))</f>
        <v>Medium</v>
      </c>
      <c r="AL111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120" spans="1:38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tr">
        <f>IF(Table1[[#This Row],[Age]]&lt;=25,"Young",IF(Table1[[#This Row],[Age]]&lt;=35,"Early Career",IF(Table1[[#This Row],[Age]]&lt;=45,"Mid Career","Senior")))</f>
        <v>Early Career</v>
      </c>
      <c r="AK1120" t="str">
        <f>IF(Table1[[#This Row],[MonthlyIncome]]&lt;3000,"Low",IF(Table1[[#This Row],[MonthlyIncome]]&lt;7000,"Medium","High"))</f>
        <v>Low</v>
      </c>
      <c r="AL112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121" spans="1:38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tr">
        <f>IF(Table1[[#This Row],[Age]]&lt;=25,"Young",IF(Table1[[#This Row],[Age]]&lt;=35,"Early Career",IF(Table1[[#This Row],[Age]]&lt;=45,"Mid Career","Senior")))</f>
        <v>Mid Career</v>
      </c>
      <c r="AK1121" t="str">
        <f>IF(Table1[[#This Row],[MonthlyIncome]]&lt;3000,"Low",IF(Table1[[#This Row],[MonthlyIncome]]&lt;7000,"Medium","High"))</f>
        <v>High</v>
      </c>
      <c r="AL112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22" spans="1:38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tr">
        <f>IF(Table1[[#This Row],[Age]]&lt;=25,"Young",IF(Table1[[#This Row],[Age]]&lt;=35,"Early Career",IF(Table1[[#This Row],[Age]]&lt;=45,"Mid Career","Senior")))</f>
        <v>Mid Career</v>
      </c>
      <c r="AK1122" t="str">
        <f>IF(Table1[[#This Row],[MonthlyIncome]]&lt;3000,"Low",IF(Table1[[#This Row],[MonthlyIncome]]&lt;7000,"Medium","High"))</f>
        <v>Medium</v>
      </c>
      <c r="AL112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23" spans="1:38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tr">
        <f>IF(Table1[[#This Row],[Age]]&lt;=25,"Young",IF(Table1[[#This Row],[Age]]&lt;=35,"Early Career",IF(Table1[[#This Row],[Age]]&lt;=45,"Mid Career","Senior")))</f>
        <v>Mid Career</v>
      </c>
      <c r="AK1123" t="str">
        <f>IF(Table1[[#This Row],[MonthlyIncome]]&lt;3000,"Low",IF(Table1[[#This Row],[MonthlyIncome]]&lt;7000,"Medium","High"))</f>
        <v>Medium</v>
      </c>
      <c r="AL112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124" spans="1:38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tr">
        <f>IF(Table1[[#This Row],[Age]]&lt;=25,"Young",IF(Table1[[#This Row],[Age]]&lt;=35,"Early Career",IF(Table1[[#This Row],[Age]]&lt;=45,"Mid Career","Senior")))</f>
        <v>Early Career</v>
      </c>
      <c r="AK1124" t="str">
        <f>IF(Table1[[#This Row],[MonthlyIncome]]&lt;3000,"Low",IF(Table1[[#This Row],[MonthlyIncome]]&lt;7000,"Medium","High"))</f>
        <v>Medium</v>
      </c>
      <c r="AL112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25" spans="1:38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tr">
        <f>IF(Table1[[#This Row],[Age]]&lt;=25,"Young",IF(Table1[[#This Row],[Age]]&lt;=35,"Early Career",IF(Table1[[#This Row],[Age]]&lt;=45,"Mid Career","Senior")))</f>
        <v>Early Career</v>
      </c>
      <c r="AK1125" t="str">
        <f>IF(Table1[[#This Row],[MonthlyIncome]]&lt;3000,"Low",IF(Table1[[#This Row],[MonthlyIncome]]&lt;7000,"Medium","High"))</f>
        <v>Medium</v>
      </c>
      <c r="AL112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26" spans="1:38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tr">
        <f>IF(Table1[[#This Row],[Age]]&lt;=25,"Young",IF(Table1[[#This Row],[Age]]&lt;=35,"Early Career",IF(Table1[[#This Row],[Age]]&lt;=45,"Mid Career","Senior")))</f>
        <v>Mid Career</v>
      </c>
      <c r="AK1126" t="str">
        <f>IF(Table1[[#This Row],[MonthlyIncome]]&lt;3000,"Low",IF(Table1[[#This Row],[MonthlyIncome]]&lt;7000,"Medium","High"))</f>
        <v>High</v>
      </c>
      <c r="AL112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27" spans="1:38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tr">
        <f>IF(Table1[[#This Row],[Age]]&lt;=25,"Young",IF(Table1[[#This Row],[Age]]&lt;=35,"Early Career",IF(Table1[[#This Row],[Age]]&lt;=45,"Mid Career","Senior")))</f>
        <v>Early Career</v>
      </c>
      <c r="AK1127" t="str">
        <f>IF(Table1[[#This Row],[MonthlyIncome]]&lt;3000,"Low",IF(Table1[[#This Row],[MonthlyIncome]]&lt;7000,"Medium","High"))</f>
        <v>High</v>
      </c>
      <c r="AL112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28" spans="1:38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tr">
        <f>IF(Table1[[#This Row],[Age]]&lt;=25,"Young",IF(Table1[[#This Row],[Age]]&lt;=35,"Early Career",IF(Table1[[#This Row],[Age]]&lt;=45,"Mid Career","Senior")))</f>
        <v>Senior</v>
      </c>
      <c r="AK1128" t="str">
        <f>IF(Table1[[#This Row],[MonthlyIncome]]&lt;3000,"Low",IF(Table1[[#This Row],[MonthlyIncome]]&lt;7000,"Medium","High"))</f>
        <v>High</v>
      </c>
      <c r="AL112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129" spans="1:38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tr">
        <f>IF(Table1[[#This Row],[Age]]&lt;=25,"Young",IF(Table1[[#This Row],[Age]]&lt;=35,"Early Career",IF(Table1[[#This Row],[Age]]&lt;=45,"Mid Career","Senior")))</f>
        <v>Young</v>
      </c>
      <c r="AK1129" t="str">
        <f>IF(Table1[[#This Row],[MonthlyIncome]]&lt;3000,"Low",IF(Table1[[#This Row],[MonthlyIncome]]&lt;7000,"Medium","High"))</f>
        <v>Low</v>
      </c>
      <c r="AL112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130" spans="1:38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tr">
        <f>IF(Table1[[#This Row],[Age]]&lt;=25,"Young",IF(Table1[[#This Row],[Age]]&lt;=35,"Early Career",IF(Table1[[#This Row],[Age]]&lt;=45,"Mid Career","Senior")))</f>
        <v>Mid Career</v>
      </c>
      <c r="AK1130" t="str">
        <f>IF(Table1[[#This Row],[MonthlyIncome]]&lt;3000,"Low",IF(Table1[[#This Row],[MonthlyIncome]]&lt;7000,"Medium","High"))</f>
        <v>Medium</v>
      </c>
      <c r="AL113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31" spans="1:38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tr">
        <f>IF(Table1[[#This Row],[Age]]&lt;=25,"Young",IF(Table1[[#This Row],[Age]]&lt;=35,"Early Career",IF(Table1[[#This Row],[Age]]&lt;=45,"Mid Career","Senior")))</f>
        <v>Mid Career</v>
      </c>
      <c r="AK1131" t="str">
        <f>IF(Table1[[#This Row],[MonthlyIncome]]&lt;3000,"Low",IF(Table1[[#This Row],[MonthlyIncome]]&lt;7000,"Medium","High"))</f>
        <v>High</v>
      </c>
      <c r="AL113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132" spans="1:38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tr">
        <f>IF(Table1[[#This Row],[Age]]&lt;=25,"Young",IF(Table1[[#This Row],[Age]]&lt;=35,"Early Career",IF(Table1[[#This Row],[Age]]&lt;=45,"Mid Career","Senior")))</f>
        <v>Early Career</v>
      </c>
      <c r="AK1132" t="str">
        <f>IF(Table1[[#This Row],[MonthlyIncome]]&lt;3000,"Low",IF(Table1[[#This Row],[MonthlyIncome]]&lt;7000,"Medium","High"))</f>
        <v>Medium</v>
      </c>
      <c r="AL113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33" spans="1:38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tr">
        <f>IF(Table1[[#This Row],[Age]]&lt;=25,"Young",IF(Table1[[#This Row],[Age]]&lt;=35,"Early Career",IF(Table1[[#This Row],[Age]]&lt;=45,"Mid Career","Senior")))</f>
        <v>Early Career</v>
      </c>
      <c r="AK1133" t="str">
        <f>IF(Table1[[#This Row],[MonthlyIncome]]&lt;3000,"Low",IF(Table1[[#This Row],[MonthlyIncome]]&lt;7000,"Medium","High"))</f>
        <v>Medium</v>
      </c>
      <c r="AL113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34" spans="1:38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tr">
        <f>IF(Table1[[#This Row],[Age]]&lt;=25,"Young",IF(Table1[[#This Row],[Age]]&lt;=35,"Early Career",IF(Table1[[#This Row],[Age]]&lt;=45,"Mid Career","Senior")))</f>
        <v>Mid Career</v>
      </c>
      <c r="AK1134" t="str">
        <f>IF(Table1[[#This Row],[MonthlyIncome]]&lt;3000,"Low",IF(Table1[[#This Row],[MonthlyIncome]]&lt;7000,"Medium","High"))</f>
        <v>Medium</v>
      </c>
      <c r="AL113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35" spans="1:38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tr">
        <f>IF(Table1[[#This Row],[Age]]&lt;=25,"Young",IF(Table1[[#This Row],[Age]]&lt;=35,"Early Career",IF(Table1[[#This Row],[Age]]&lt;=45,"Mid Career","Senior")))</f>
        <v>Mid Career</v>
      </c>
      <c r="AK1135" t="str">
        <f>IF(Table1[[#This Row],[MonthlyIncome]]&lt;3000,"Low",IF(Table1[[#This Row],[MonthlyIncome]]&lt;7000,"Medium","High"))</f>
        <v>Medium</v>
      </c>
      <c r="AL113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36" spans="1:38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tr">
        <f>IF(Table1[[#This Row],[Age]]&lt;=25,"Young",IF(Table1[[#This Row],[Age]]&lt;=35,"Early Career",IF(Table1[[#This Row],[Age]]&lt;=45,"Mid Career","Senior")))</f>
        <v>Early Career</v>
      </c>
      <c r="AK1136" t="str">
        <f>IF(Table1[[#This Row],[MonthlyIncome]]&lt;3000,"Low",IF(Table1[[#This Row],[MonthlyIncome]]&lt;7000,"Medium","High"))</f>
        <v>Low</v>
      </c>
      <c r="AL1136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137" spans="1:38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tr">
        <f>IF(Table1[[#This Row],[Age]]&lt;=25,"Young",IF(Table1[[#This Row],[Age]]&lt;=35,"Early Career",IF(Table1[[#This Row],[Age]]&lt;=45,"Mid Career","Senior")))</f>
        <v>Senior</v>
      </c>
      <c r="AK1137" t="str">
        <f>IF(Table1[[#This Row],[MonthlyIncome]]&lt;3000,"Low",IF(Table1[[#This Row],[MonthlyIncome]]&lt;7000,"Medium","High"))</f>
        <v>High</v>
      </c>
      <c r="AL1137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138" spans="1:38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tr">
        <f>IF(Table1[[#This Row],[Age]]&lt;=25,"Young",IF(Table1[[#This Row],[Age]]&lt;=35,"Early Career",IF(Table1[[#This Row],[Age]]&lt;=45,"Mid Career","Senior")))</f>
        <v>Early Career</v>
      </c>
      <c r="AK1138" t="str">
        <f>IF(Table1[[#This Row],[MonthlyIncome]]&lt;3000,"Low",IF(Table1[[#This Row],[MonthlyIncome]]&lt;7000,"Medium","High"))</f>
        <v>Low</v>
      </c>
      <c r="AL113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139" spans="1:38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tr">
        <f>IF(Table1[[#This Row],[Age]]&lt;=25,"Young",IF(Table1[[#This Row],[Age]]&lt;=35,"Early Career",IF(Table1[[#This Row],[Age]]&lt;=45,"Mid Career","Senior")))</f>
        <v>Young</v>
      </c>
      <c r="AK1139" t="str">
        <f>IF(Table1[[#This Row],[MonthlyIncome]]&lt;3000,"Low",IF(Table1[[#This Row],[MonthlyIncome]]&lt;7000,"Medium","High"))</f>
        <v>Low</v>
      </c>
      <c r="AL113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40" spans="1:38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tr">
        <f>IF(Table1[[#This Row],[Age]]&lt;=25,"Young",IF(Table1[[#This Row],[Age]]&lt;=35,"Early Career",IF(Table1[[#This Row],[Age]]&lt;=45,"Mid Career","Senior")))</f>
        <v>Senior</v>
      </c>
      <c r="AK1140" t="str">
        <f>IF(Table1[[#This Row],[MonthlyIncome]]&lt;3000,"Low",IF(Table1[[#This Row],[MonthlyIncome]]&lt;7000,"Medium","High"))</f>
        <v>High</v>
      </c>
      <c r="AL1140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141" spans="1:38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tr">
        <f>IF(Table1[[#This Row],[Age]]&lt;=25,"Young",IF(Table1[[#This Row],[Age]]&lt;=35,"Early Career",IF(Table1[[#This Row],[Age]]&lt;=45,"Mid Career","Senior")))</f>
        <v>Early Career</v>
      </c>
      <c r="AK1141" t="str">
        <f>IF(Table1[[#This Row],[MonthlyIncome]]&lt;3000,"Low",IF(Table1[[#This Row],[MonthlyIncome]]&lt;7000,"Medium","High"))</f>
        <v>Medium</v>
      </c>
      <c r="AL114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42" spans="1:38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tr">
        <f>IF(Table1[[#This Row],[Age]]&lt;=25,"Young",IF(Table1[[#This Row],[Age]]&lt;=35,"Early Career",IF(Table1[[#This Row],[Age]]&lt;=45,"Mid Career","Senior")))</f>
        <v>Mid Career</v>
      </c>
      <c r="AK1142" t="str">
        <f>IF(Table1[[#This Row],[MonthlyIncome]]&lt;3000,"Low",IF(Table1[[#This Row],[MonthlyIncome]]&lt;7000,"Medium","High"))</f>
        <v>High</v>
      </c>
      <c r="AL1142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143" spans="1:38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tr">
        <f>IF(Table1[[#This Row],[Age]]&lt;=25,"Young",IF(Table1[[#This Row],[Age]]&lt;=35,"Early Career",IF(Table1[[#This Row],[Age]]&lt;=45,"Mid Career","Senior")))</f>
        <v>Early Career</v>
      </c>
      <c r="AK1143" t="str">
        <f>IF(Table1[[#This Row],[MonthlyIncome]]&lt;3000,"Low",IF(Table1[[#This Row],[MonthlyIncome]]&lt;7000,"Medium","High"))</f>
        <v>Low</v>
      </c>
      <c r="AL114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44" spans="1:38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tr">
        <f>IF(Table1[[#This Row],[Age]]&lt;=25,"Young",IF(Table1[[#This Row],[Age]]&lt;=35,"Early Career",IF(Table1[[#This Row],[Age]]&lt;=45,"Mid Career","Senior")))</f>
        <v>Mid Career</v>
      </c>
      <c r="AK1144" t="str">
        <f>IF(Table1[[#This Row],[MonthlyIncome]]&lt;3000,"Low",IF(Table1[[#This Row],[MonthlyIncome]]&lt;7000,"Medium","High"))</f>
        <v>Medium</v>
      </c>
      <c r="AL114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45" spans="1:38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tr">
        <f>IF(Table1[[#This Row],[Age]]&lt;=25,"Young",IF(Table1[[#This Row],[Age]]&lt;=35,"Early Career",IF(Table1[[#This Row],[Age]]&lt;=45,"Mid Career","Senior")))</f>
        <v>Mid Career</v>
      </c>
      <c r="AK1145" t="str">
        <f>IF(Table1[[#This Row],[MonthlyIncome]]&lt;3000,"Low",IF(Table1[[#This Row],[MonthlyIncome]]&lt;7000,"Medium","High"))</f>
        <v>Medium</v>
      </c>
      <c r="AL114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46" spans="1:38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tr">
        <f>IF(Table1[[#This Row],[Age]]&lt;=25,"Young",IF(Table1[[#This Row],[Age]]&lt;=35,"Early Career",IF(Table1[[#This Row],[Age]]&lt;=45,"Mid Career","Senior")))</f>
        <v>Early Career</v>
      </c>
      <c r="AK1146" t="str">
        <f>IF(Table1[[#This Row],[MonthlyIncome]]&lt;3000,"Low",IF(Table1[[#This Row],[MonthlyIncome]]&lt;7000,"Medium","High"))</f>
        <v>Medium</v>
      </c>
      <c r="AL114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47" spans="1:38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tr">
        <f>IF(Table1[[#This Row],[Age]]&lt;=25,"Young",IF(Table1[[#This Row],[Age]]&lt;=35,"Early Career",IF(Table1[[#This Row],[Age]]&lt;=45,"Mid Career","Senior")))</f>
        <v>Mid Career</v>
      </c>
      <c r="AK1147" t="str">
        <f>IF(Table1[[#This Row],[MonthlyIncome]]&lt;3000,"Low",IF(Table1[[#This Row],[MonthlyIncome]]&lt;7000,"Medium","High"))</f>
        <v>Medium</v>
      </c>
      <c r="AL114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48" spans="1:38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tr">
        <f>IF(Table1[[#This Row],[Age]]&lt;=25,"Young",IF(Table1[[#This Row],[Age]]&lt;=35,"Early Career",IF(Table1[[#This Row],[Age]]&lt;=45,"Mid Career","Senior")))</f>
        <v>Early Career</v>
      </c>
      <c r="AK1148" t="str">
        <f>IF(Table1[[#This Row],[MonthlyIncome]]&lt;3000,"Low",IF(Table1[[#This Row],[MonthlyIncome]]&lt;7000,"Medium","High"))</f>
        <v>Medium</v>
      </c>
      <c r="AL114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49" spans="1:38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tr">
        <f>IF(Table1[[#This Row],[Age]]&lt;=25,"Young",IF(Table1[[#This Row],[Age]]&lt;=35,"Early Career",IF(Table1[[#This Row],[Age]]&lt;=45,"Mid Career","Senior")))</f>
        <v>Senior</v>
      </c>
      <c r="AK1149" t="str">
        <f>IF(Table1[[#This Row],[MonthlyIncome]]&lt;3000,"Low",IF(Table1[[#This Row],[MonthlyIncome]]&lt;7000,"Medium","High"))</f>
        <v>Medium</v>
      </c>
      <c r="AL1149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50" spans="1:38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tr">
        <f>IF(Table1[[#This Row],[Age]]&lt;=25,"Young",IF(Table1[[#This Row],[Age]]&lt;=35,"Early Career",IF(Table1[[#This Row],[Age]]&lt;=45,"Mid Career","Senior")))</f>
        <v>Mid Career</v>
      </c>
      <c r="AK1150" t="str">
        <f>IF(Table1[[#This Row],[MonthlyIncome]]&lt;3000,"Low",IF(Table1[[#This Row],[MonthlyIncome]]&lt;7000,"Medium","High"))</f>
        <v>Medium</v>
      </c>
      <c r="AL115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51" spans="1:38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tr">
        <f>IF(Table1[[#This Row],[Age]]&lt;=25,"Young",IF(Table1[[#This Row],[Age]]&lt;=35,"Early Career",IF(Table1[[#This Row],[Age]]&lt;=45,"Mid Career","Senior")))</f>
        <v>Early Career</v>
      </c>
      <c r="AK1151" t="str">
        <f>IF(Table1[[#This Row],[MonthlyIncome]]&lt;3000,"Low",IF(Table1[[#This Row],[MonthlyIncome]]&lt;7000,"Medium","High"))</f>
        <v>Medium</v>
      </c>
      <c r="AL115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52" spans="1:38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tr">
        <f>IF(Table1[[#This Row],[Age]]&lt;=25,"Young",IF(Table1[[#This Row],[Age]]&lt;=35,"Early Career",IF(Table1[[#This Row],[Age]]&lt;=45,"Mid Career","Senior")))</f>
        <v>Early Career</v>
      </c>
      <c r="AK1152" t="str">
        <f>IF(Table1[[#This Row],[MonthlyIncome]]&lt;3000,"Low",IF(Table1[[#This Row],[MonthlyIncome]]&lt;7000,"Medium","High"))</f>
        <v>Medium</v>
      </c>
      <c r="AL1152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153" spans="1:38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tr">
        <f>IF(Table1[[#This Row],[Age]]&lt;=25,"Young",IF(Table1[[#This Row],[Age]]&lt;=35,"Early Career",IF(Table1[[#This Row],[Age]]&lt;=45,"Mid Career","Senior")))</f>
        <v>Early Career</v>
      </c>
      <c r="AK1153" t="str">
        <f>IF(Table1[[#This Row],[MonthlyIncome]]&lt;3000,"Low",IF(Table1[[#This Row],[MonthlyIncome]]&lt;7000,"Medium","High"))</f>
        <v>Medium</v>
      </c>
      <c r="AL1153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54" spans="1:38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tr">
        <f>IF(Table1[[#This Row],[Age]]&lt;=25,"Young",IF(Table1[[#This Row],[Age]]&lt;=35,"Early Career",IF(Table1[[#This Row],[Age]]&lt;=45,"Mid Career","Senior")))</f>
        <v>Young</v>
      </c>
      <c r="AK1154" t="str">
        <f>IF(Table1[[#This Row],[MonthlyIncome]]&lt;3000,"Low",IF(Table1[[#This Row],[MonthlyIncome]]&lt;7000,"Medium","High"))</f>
        <v>Medium</v>
      </c>
      <c r="AL115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155" spans="1:38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tr">
        <f>IF(Table1[[#This Row],[Age]]&lt;=25,"Young",IF(Table1[[#This Row],[Age]]&lt;=35,"Early Career",IF(Table1[[#This Row],[Age]]&lt;=45,"Mid Career","Senior")))</f>
        <v>Young</v>
      </c>
      <c r="AK1155" t="str">
        <f>IF(Table1[[#This Row],[MonthlyIncome]]&lt;3000,"Low",IF(Table1[[#This Row],[MonthlyIncome]]&lt;7000,"Medium","High"))</f>
        <v>Low</v>
      </c>
      <c r="AL1155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156" spans="1:38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tr">
        <f>IF(Table1[[#This Row],[Age]]&lt;=25,"Young",IF(Table1[[#This Row],[Age]]&lt;=35,"Early Career",IF(Table1[[#This Row],[Age]]&lt;=45,"Mid Career","Senior")))</f>
        <v>Senior</v>
      </c>
      <c r="AK1156" t="str">
        <f>IF(Table1[[#This Row],[MonthlyIncome]]&lt;3000,"Low",IF(Table1[[#This Row],[MonthlyIncome]]&lt;7000,"Medium","High"))</f>
        <v>High</v>
      </c>
      <c r="AL115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57" spans="1:38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tr">
        <f>IF(Table1[[#This Row],[Age]]&lt;=25,"Young",IF(Table1[[#This Row],[Age]]&lt;=35,"Early Career",IF(Table1[[#This Row],[Age]]&lt;=45,"Mid Career","Senior")))</f>
        <v>Mid Career</v>
      </c>
      <c r="AK1157" t="str">
        <f>IF(Table1[[#This Row],[MonthlyIncome]]&lt;3000,"Low",IF(Table1[[#This Row],[MonthlyIncome]]&lt;7000,"Medium","High"))</f>
        <v>Medium</v>
      </c>
      <c r="AL115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58" spans="1:38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tr">
        <f>IF(Table1[[#This Row],[Age]]&lt;=25,"Young",IF(Table1[[#This Row],[Age]]&lt;=35,"Early Career",IF(Table1[[#This Row],[Age]]&lt;=45,"Mid Career","Senior")))</f>
        <v>Mid Career</v>
      </c>
      <c r="AK1158" t="str">
        <f>IF(Table1[[#This Row],[MonthlyIncome]]&lt;3000,"Low",IF(Table1[[#This Row],[MonthlyIncome]]&lt;7000,"Medium","High"))</f>
        <v>High</v>
      </c>
      <c r="AL1158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159" spans="1:38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tr">
        <f>IF(Table1[[#This Row],[Age]]&lt;=25,"Young",IF(Table1[[#This Row],[Age]]&lt;=35,"Early Career",IF(Table1[[#This Row],[Age]]&lt;=45,"Mid Career","Senior")))</f>
        <v>Early Career</v>
      </c>
      <c r="AK1159" t="str">
        <f>IF(Table1[[#This Row],[MonthlyIncome]]&lt;3000,"Low",IF(Table1[[#This Row],[MonthlyIncome]]&lt;7000,"Medium","High"))</f>
        <v>Medium</v>
      </c>
      <c r="AL1159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160" spans="1:38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tr">
        <f>IF(Table1[[#This Row],[Age]]&lt;=25,"Young",IF(Table1[[#This Row],[Age]]&lt;=35,"Early Career",IF(Table1[[#This Row],[Age]]&lt;=45,"Mid Career","Senior")))</f>
        <v>Mid Career</v>
      </c>
      <c r="AK1160" t="str">
        <f>IF(Table1[[#This Row],[MonthlyIncome]]&lt;3000,"Low",IF(Table1[[#This Row],[MonthlyIncome]]&lt;7000,"Medium","High"))</f>
        <v>Medium</v>
      </c>
      <c r="AL116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61" spans="1:38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tr">
        <f>IF(Table1[[#This Row],[Age]]&lt;=25,"Young",IF(Table1[[#This Row],[Age]]&lt;=35,"Early Career",IF(Table1[[#This Row],[Age]]&lt;=45,"Mid Career","Senior")))</f>
        <v>Mid Career</v>
      </c>
      <c r="AK1161" t="str">
        <f>IF(Table1[[#This Row],[MonthlyIncome]]&lt;3000,"Low",IF(Table1[[#This Row],[MonthlyIncome]]&lt;7000,"Medium","High"))</f>
        <v>Medium</v>
      </c>
      <c r="AL116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62" spans="1:38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tr">
        <f>IF(Table1[[#This Row],[Age]]&lt;=25,"Young",IF(Table1[[#This Row],[Age]]&lt;=35,"Early Career",IF(Table1[[#This Row],[Age]]&lt;=45,"Mid Career","Senior")))</f>
        <v>Mid Career</v>
      </c>
      <c r="AK1162" t="str">
        <f>IF(Table1[[#This Row],[MonthlyIncome]]&lt;3000,"Low",IF(Table1[[#This Row],[MonthlyIncome]]&lt;7000,"Medium","High"))</f>
        <v>Medium</v>
      </c>
      <c r="AL116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63" spans="1:38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tr">
        <f>IF(Table1[[#This Row],[Age]]&lt;=25,"Young",IF(Table1[[#This Row],[Age]]&lt;=35,"Early Career",IF(Table1[[#This Row],[Age]]&lt;=45,"Mid Career","Senior")))</f>
        <v>Mid Career</v>
      </c>
      <c r="AK1163" t="str">
        <f>IF(Table1[[#This Row],[MonthlyIncome]]&lt;3000,"Low",IF(Table1[[#This Row],[MonthlyIncome]]&lt;7000,"Medium","High"))</f>
        <v>High</v>
      </c>
      <c r="AL1163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64" spans="1:38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tr">
        <f>IF(Table1[[#This Row],[Age]]&lt;=25,"Young",IF(Table1[[#This Row],[Age]]&lt;=35,"Early Career",IF(Table1[[#This Row],[Age]]&lt;=45,"Mid Career","Senior")))</f>
        <v>Early Career</v>
      </c>
      <c r="AK1164" t="str">
        <f>IF(Table1[[#This Row],[MonthlyIncome]]&lt;3000,"Low",IF(Table1[[#This Row],[MonthlyIncome]]&lt;7000,"Medium","High"))</f>
        <v>High</v>
      </c>
      <c r="AL1164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165" spans="1:38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tr">
        <f>IF(Table1[[#This Row],[Age]]&lt;=25,"Young",IF(Table1[[#This Row],[Age]]&lt;=35,"Early Career",IF(Table1[[#This Row],[Age]]&lt;=45,"Mid Career","Senior")))</f>
        <v>Mid Career</v>
      </c>
      <c r="AK1165" t="str">
        <f>IF(Table1[[#This Row],[MonthlyIncome]]&lt;3000,"Low",IF(Table1[[#This Row],[MonthlyIncome]]&lt;7000,"Medium","High"))</f>
        <v>Medium</v>
      </c>
      <c r="AL116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66" spans="1:38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tr">
        <f>IF(Table1[[#This Row],[Age]]&lt;=25,"Young",IF(Table1[[#This Row],[Age]]&lt;=35,"Early Career",IF(Table1[[#This Row],[Age]]&lt;=45,"Mid Career","Senior")))</f>
        <v>Mid Career</v>
      </c>
      <c r="AK1166" t="str">
        <f>IF(Table1[[#This Row],[MonthlyIncome]]&lt;3000,"Low",IF(Table1[[#This Row],[MonthlyIncome]]&lt;7000,"Medium","High"))</f>
        <v>High</v>
      </c>
      <c r="AL116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67" spans="1:38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tr">
        <f>IF(Table1[[#This Row],[Age]]&lt;=25,"Young",IF(Table1[[#This Row],[Age]]&lt;=35,"Early Career",IF(Table1[[#This Row],[Age]]&lt;=45,"Mid Career","Senior")))</f>
        <v>Mid Career</v>
      </c>
      <c r="AK1167" t="str">
        <f>IF(Table1[[#This Row],[MonthlyIncome]]&lt;3000,"Low",IF(Table1[[#This Row],[MonthlyIncome]]&lt;7000,"Medium","High"))</f>
        <v>Medium</v>
      </c>
      <c r="AL116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68" spans="1:38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tr">
        <f>IF(Table1[[#This Row],[Age]]&lt;=25,"Young",IF(Table1[[#This Row],[Age]]&lt;=35,"Early Career",IF(Table1[[#This Row],[Age]]&lt;=45,"Mid Career","Senior")))</f>
        <v>Senior</v>
      </c>
      <c r="AK1168" t="str">
        <f>IF(Table1[[#This Row],[MonthlyIncome]]&lt;3000,"Low",IF(Table1[[#This Row],[MonthlyIncome]]&lt;7000,"Medium","High"))</f>
        <v>High</v>
      </c>
      <c r="AL116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169" spans="1:38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tr">
        <f>IF(Table1[[#This Row],[Age]]&lt;=25,"Young",IF(Table1[[#This Row],[Age]]&lt;=35,"Early Career",IF(Table1[[#This Row],[Age]]&lt;=45,"Mid Career","Senior")))</f>
        <v>Early Career</v>
      </c>
      <c r="AK1169" t="str">
        <f>IF(Table1[[#This Row],[MonthlyIncome]]&lt;3000,"Low",IF(Table1[[#This Row],[MonthlyIncome]]&lt;7000,"Medium","High"))</f>
        <v>Medium</v>
      </c>
      <c r="AL116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170" spans="1:38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tr">
        <f>IF(Table1[[#This Row],[Age]]&lt;=25,"Young",IF(Table1[[#This Row],[Age]]&lt;=35,"Early Career",IF(Table1[[#This Row],[Age]]&lt;=45,"Mid Career","Senior")))</f>
        <v>Young</v>
      </c>
      <c r="AK1170" t="str">
        <f>IF(Table1[[#This Row],[MonthlyIncome]]&lt;3000,"Low",IF(Table1[[#This Row],[MonthlyIncome]]&lt;7000,"Medium","High"))</f>
        <v>Medium</v>
      </c>
      <c r="AL117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71" spans="1:38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tr">
        <f>IF(Table1[[#This Row],[Age]]&lt;=25,"Young",IF(Table1[[#This Row],[Age]]&lt;=35,"Early Career",IF(Table1[[#This Row],[Age]]&lt;=45,"Mid Career","Senior")))</f>
        <v>Early Career</v>
      </c>
      <c r="AK1171" t="str">
        <f>IF(Table1[[#This Row],[MonthlyIncome]]&lt;3000,"Low",IF(Table1[[#This Row],[MonthlyIncome]]&lt;7000,"Medium","High"))</f>
        <v>Medium</v>
      </c>
      <c r="AL117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72" spans="1:38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tr">
        <f>IF(Table1[[#This Row],[Age]]&lt;=25,"Young",IF(Table1[[#This Row],[Age]]&lt;=35,"Early Career",IF(Table1[[#This Row],[Age]]&lt;=45,"Mid Career","Senior")))</f>
        <v>Early Career</v>
      </c>
      <c r="AK1172" t="str">
        <f>IF(Table1[[#This Row],[MonthlyIncome]]&lt;3000,"Low",IF(Table1[[#This Row],[MonthlyIncome]]&lt;7000,"Medium","High"))</f>
        <v>Low</v>
      </c>
      <c r="AL117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73" spans="1:38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tr">
        <f>IF(Table1[[#This Row],[Age]]&lt;=25,"Young",IF(Table1[[#This Row],[Age]]&lt;=35,"Early Career",IF(Table1[[#This Row],[Age]]&lt;=45,"Mid Career","Senior")))</f>
        <v>Mid Career</v>
      </c>
      <c r="AK1173" t="str">
        <f>IF(Table1[[#This Row],[MonthlyIncome]]&lt;3000,"Low",IF(Table1[[#This Row],[MonthlyIncome]]&lt;7000,"Medium","High"))</f>
        <v>Low</v>
      </c>
      <c r="AL1173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74" spans="1:38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tr">
        <f>IF(Table1[[#This Row],[Age]]&lt;=25,"Young",IF(Table1[[#This Row],[Age]]&lt;=35,"Early Career",IF(Table1[[#This Row],[Age]]&lt;=45,"Mid Career","Senior")))</f>
        <v>Early Career</v>
      </c>
      <c r="AK1174" t="str">
        <f>IF(Table1[[#This Row],[MonthlyIncome]]&lt;3000,"Low",IF(Table1[[#This Row],[MonthlyIncome]]&lt;7000,"Medium","High"))</f>
        <v>Medium</v>
      </c>
      <c r="AL117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75" spans="1:38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tr">
        <f>IF(Table1[[#This Row],[Age]]&lt;=25,"Young",IF(Table1[[#This Row],[Age]]&lt;=35,"Early Career",IF(Table1[[#This Row],[Age]]&lt;=45,"Mid Career","Senior")))</f>
        <v>Mid Career</v>
      </c>
      <c r="AK1175" t="str">
        <f>IF(Table1[[#This Row],[MonthlyIncome]]&lt;3000,"Low",IF(Table1[[#This Row],[MonthlyIncome]]&lt;7000,"Medium","High"))</f>
        <v>High</v>
      </c>
      <c r="AL117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76" spans="1:38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tr">
        <f>IF(Table1[[#This Row],[Age]]&lt;=25,"Young",IF(Table1[[#This Row],[Age]]&lt;=35,"Early Career",IF(Table1[[#This Row],[Age]]&lt;=45,"Mid Career","Senior")))</f>
        <v>Young</v>
      </c>
      <c r="AK1176" t="str">
        <f>IF(Table1[[#This Row],[MonthlyIncome]]&lt;3000,"Low",IF(Table1[[#This Row],[MonthlyIncome]]&lt;7000,"Medium","High"))</f>
        <v>Medium</v>
      </c>
      <c r="AL117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77" spans="1:38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tr">
        <f>IF(Table1[[#This Row],[Age]]&lt;=25,"Young",IF(Table1[[#This Row],[Age]]&lt;=35,"Early Career",IF(Table1[[#This Row],[Age]]&lt;=45,"Mid Career","Senior")))</f>
        <v>Mid Career</v>
      </c>
      <c r="AK1177" t="str">
        <f>IF(Table1[[#This Row],[MonthlyIncome]]&lt;3000,"Low",IF(Table1[[#This Row],[MonthlyIncome]]&lt;7000,"Medium","High"))</f>
        <v>Medium</v>
      </c>
      <c r="AL117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78" spans="1:38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tr">
        <f>IF(Table1[[#This Row],[Age]]&lt;=25,"Young",IF(Table1[[#This Row],[Age]]&lt;=35,"Early Career",IF(Table1[[#This Row],[Age]]&lt;=45,"Mid Career","Senior")))</f>
        <v>Senior</v>
      </c>
      <c r="AK1178" t="str">
        <f>IF(Table1[[#This Row],[MonthlyIncome]]&lt;3000,"Low",IF(Table1[[#This Row],[MonthlyIncome]]&lt;7000,"Medium","High"))</f>
        <v>High</v>
      </c>
      <c r="AL117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79" spans="1:38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tr">
        <f>IF(Table1[[#This Row],[Age]]&lt;=25,"Young",IF(Table1[[#This Row],[Age]]&lt;=35,"Early Career",IF(Table1[[#This Row],[Age]]&lt;=45,"Mid Career","Senior")))</f>
        <v>Senior</v>
      </c>
      <c r="AK1179" t="str">
        <f>IF(Table1[[#This Row],[MonthlyIncome]]&lt;3000,"Low",IF(Table1[[#This Row],[MonthlyIncome]]&lt;7000,"Medium","High"))</f>
        <v>High</v>
      </c>
      <c r="AL1179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180" spans="1:38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tr">
        <f>IF(Table1[[#This Row],[Age]]&lt;=25,"Young",IF(Table1[[#This Row],[Age]]&lt;=35,"Early Career",IF(Table1[[#This Row],[Age]]&lt;=45,"Mid Career","Senior")))</f>
        <v>Young</v>
      </c>
      <c r="AK1180" t="str">
        <f>IF(Table1[[#This Row],[MonthlyIncome]]&lt;3000,"Low",IF(Table1[[#This Row],[MonthlyIncome]]&lt;7000,"Medium","High"))</f>
        <v>Low</v>
      </c>
      <c r="AL118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181" spans="1:38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tr">
        <f>IF(Table1[[#This Row],[Age]]&lt;=25,"Young",IF(Table1[[#This Row],[Age]]&lt;=35,"Early Career",IF(Table1[[#This Row],[Age]]&lt;=45,"Mid Career","Senior")))</f>
        <v>Early Career</v>
      </c>
      <c r="AK1181" t="str">
        <f>IF(Table1[[#This Row],[MonthlyIncome]]&lt;3000,"Low",IF(Table1[[#This Row],[MonthlyIncome]]&lt;7000,"Medium","High"))</f>
        <v>Medium</v>
      </c>
      <c r="AL1181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182" spans="1:38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tr">
        <f>IF(Table1[[#This Row],[Age]]&lt;=25,"Young",IF(Table1[[#This Row],[Age]]&lt;=35,"Early Career",IF(Table1[[#This Row],[Age]]&lt;=45,"Mid Career","Senior")))</f>
        <v>Mid Career</v>
      </c>
      <c r="AK1182" t="str">
        <f>IF(Table1[[#This Row],[MonthlyIncome]]&lt;3000,"Low",IF(Table1[[#This Row],[MonthlyIncome]]&lt;7000,"Medium","High"))</f>
        <v>Low</v>
      </c>
      <c r="AL118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83" spans="1:38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tr">
        <f>IF(Table1[[#This Row],[Age]]&lt;=25,"Young",IF(Table1[[#This Row],[Age]]&lt;=35,"Early Career",IF(Table1[[#This Row],[Age]]&lt;=45,"Mid Career","Senior")))</f>
        <v>Senior</v>
      </c>
      <c r="AK1183" t="str">
        <f>IF(Table1[[#This Row],[MonthlyIncome]]&lt;3000,"Low",IF(Table1[[#This Row],[MonthlyIncome]]&lt;7000,"Medium","High"))</f>
        <v>High</v>
      </c>
      <c r="AL1183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184" spans="1:38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tr">
        <f>IF(Table1[[#This Row],[Age]]&lt;=25,"Young",IF(Table1[[#This Row],[Age]]&lt;=35,"Early Career",IF(Table1[[#This Row],[Age]]&lt;=45,"Mid Career","Senior")))</f>
        <v>Mid Career</v>
      </c>
      <c r="AK1184" t="str">
        <f>IF(Table1[[#This Row],[MonthlyIncome]]&lt;3000,"Low",IF(Table1[[#This Row],[MonthlyIncome]]&lt;7000,"Medium","High"))</f>
        <v>Medium</v>
      </c>
      <c r="AL118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85" spans="1:38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tr">
        <f>IF(Table1[[#This Row],[Age]]&lt;=25,"Young",IF(Table1[[#This Row],[Age]]&lt;=35,"Early Career",IF(Table1[[#This Row],[Age]]&lt;=45,"Mid Career","Senior")))</f>
        <v>Mid Career</v>
      </c>
      <c r="AK1185" t="str">
        <f>IF(Table1[[#This Row],[MonthlyIncome]]&lt;3000,"Low",IF(Table1[[#This Row],[MonthlyIncome]]&lt;7000,"Medium","High"))</f>
        <v>Medium</v>
      </c>
      <c r="AL118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86" spans="1:38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tr">
        <f>IF(Table1[[#This Row],[Age]]&lt;=25,"Young",IF(Table1[[#This Row],[Age]]&lt;=35,"Early Career",IF(Table1[[#This Row],[Age]]&lt;=45,"Mid Career","Senior")))</f>
        <v>Senior</v>
      </c>
      <c r="AK1186" t="str">
        <f>IF(Table1[[#This Row],[MonthlyIncome]]&lt;3000,"Low",IF(Table1[[#This Row],[MonthlyIncome]]&lt;7000,"Medium","High"))</f>
        <v>High</v>
      </c>
      <c r="AL118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87" spans="1:38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tr">
        <f>IF(Table1[[#This Row],[Age]]&lt;=25,"Young",IF(Table1[[#This Row],[Age]]&lt;=35,"Early Career",IF(Table1[[#This Row],[Age]]&lt;=45,"Mid Career","Senior")))</f>
        <v>Mid Career</v>
      </c>
      <c r="AK1187" t="str">
        <f>IF(Table1[[#This Row],[MonthlyIncome]]&lt;3000,"Low",IF(Table1[[#This Row],[MonthlyIncome]]&lt;7000,"Medium","High"))</f>
        <v>High</v>
      </c>
      <c r="AL1187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188" spans="1:38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tr">
        <f>IF(Table1[[#This Row],[Age]]&lt;=25,"Young",IF(Table1[[#This Row],[Age]]&lt;=35,"Early Career",IF(Table1[[#This Row],[Age]]&lt;=45,"Mid Career","Senior")))</f>
        <v>Early Career</v>
      </c>
      <c r="AK1188" t="str">
        <f>IF(Table1[[#This Row],[MonthlyIncome]]&lt;3000,"Low",IF(Table1[[#This Row],[MonthlyIncome]]&lt;7000,"Medium","High"))</f>
        <v>Medium</v>
      </c>
      <c r="AL1188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189" spans="1:38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tr">
        <f>IF(Table1[[#This Row],[Age]]&lt;=25,"Young",IF(Table1[[#This Row],[Age]]&lt;=35,"Early Career",IF(Table1[[#This Row],[Age]]&lt;=45,"Mid Career","Senior")))</f>
        <v>Mid Career</v>
      </c>
      <c r="AK1189" t="str">
        <f>IF(Table1[[#This Row],[MonthlyIncome]]&lt;3000,"Low",IF(Table1[[#This Row],[MonthlyIncome]]&lt;7000,"Medium","High"))</f>
        <v>Medium</v>
      </c>
      <c r="AL1189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190" spans="1:38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tr">
        <f>IF(Table1[[#This Row],[Age]]&lt;=25,"Young",IF(Table1[[#This Row],[Age]]&lt;=35,"Early Career",IF(Table1[[#This Row],[Age]]&lt;=45,"Mid Career","Senior")))</f>
        <v>Early Career</v>
      </c>
      <c r="AK1190" t="str">
        <f>IF(Table1[[#This Row],[MonthlyIncome]]&lt;3000,"Low",IF(Table1[[#This Row],[MonthlyIncome]]&lt;7000,"Medium","High"))</f>
        <v>Medium</v>
      </c>
      <c r="AL119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91" spans="1:38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tr">
        <f>IF(Table1[[#This Row],[Age]]&lt;=25,"Young",IF(Table1[[#This Row],[Age]]&lt;=35,"Early Career",IF(Table1[[#This Row],[Age]]&lt;=45,"Mid Career","Senior")))</f>
        <v>Early Career</v>
      </c>
      <c r="AK1191" t="str">
        <f>IF(Table1[[#This Row],[MonthlyIncome]]&lt;3000,"Low",IF(Table1[[#This Row],[MonthlyIncome]]&lt;7000,"Medium","High"))</f>
        <v>Medium</v>
      </c>
      <c r="AL119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92" spans="1:38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tr">
        <f>IF(Table1[[#This Row],[Age]]&lt;=25,"Young",IF(Table1[[#This Row],[Age]]&lt;=35,"Early Career",IF(Table1[[#This Row],[Age]]&lt;=45,"Mid Career","Senior")))</f>
        <v>Early Career</v>
      </c>
      <c r="AK1192" t="str">
        <f>IF(Table1[[#This Row],[MonthlyIncome]]&lt;3000,"Low",IF(Table1[[#This Row],[MonthlyIncome]]&lt;7000,"Medium","High"))</f>
        <v>Medium</v>
      </c>
      <c r="AL119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93" spans="1:38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tr">
        <f>IF(Table1[[#This Row],[Age]]&lt;=25,"Young",IF(Table1[[#This Row],[Age]]&lt;=35,"Early Career",IF(Table1[[#This Row],[Age]]&lt;=45,"Mid Career","Senior")))</f>
        <v>Early Career</v>
      </c>
      <c r="AK1193" t="str">
        <f>IF(Table1[[#This Row],[MonthlyIncome]]&lt;3000,"Low",IF(Table1[[#This Row],[MonthlyIncome]]&lt;7000,"Medium","High"))</f>
        <v>Medium</v>
      </c>
      <c r="AL119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94" spans="1:38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tr">
        <f>IF(Table1[[#This Row],[Age]]&lt;=25,"Young",IF(Table1[[#This Row],[Age]]&lt;=35,"Early Career",IF(Table1[[#This Row],[Age]]&lt;=45,"Mid Career","Senior")))</f>
        <v>Senior</v>
      </c>
      <c r="AK1194" t="str">
        <f>IF(Table1[[#This Row],[MonthlyIncome]]&lt;3000,"Low",IF(Table1[[#This Row],[MonthlyIncome]]&lt;7000,"Medium","High"))</f>
        <v>Low</v>
      </c>
      <c r="AL119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195" spans="1:38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tr">
        <f>IF(Table1[[#This Row],[Age]]&lt;=25,"Young",IF(Table1[[#This Row],[Age]]&lt;=35,"Early Career",IF(Table1[[#This Row],[Age]]&lt;=45,"Mid Career","Senior")))</f>
        <v>Mid Career</v>
      </c>
      <c r="AK1195" t="str">
        <f>IF(Table1[[#This Row],[MonthlyIncome]]&lt;3000,"Low",IF(Table1[[#This Row],[MonthlyIncome]]&lt;7000,"Medium","High"))</f>
        <v>Low</v>
      </c>
      <c r="AL119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96" spans="1:38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tr">
        <f>IF(Table1[[#This Row],[Age]]&lt;=25,"Young",IF(Table1[[#This Row],[Age]]&lt;=35,"Early Career",IF(Table1[[#This Row],[Age]]&lt;=45,"Mid Career","Senior")))</f>
        <v>Senior</v>
      </c>
      <c r="AK1196" t="str">
        <f>IF(Table1[[#This Row],[MonthlyIncome]]&lt;3000,"Low",IF(Table1[[#This Row],[MonthlyIncome]]&lt;7000,"Medium","High"))</f>
        <v>High</v>
      </c>
      <c r="AL119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197" spans="1:38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tr">
        <f>IF(Table1[[#This Row],[Age]]&lt;=25,"Young",IF(Table1[[#This Row],[Age]]&lt;=35,"Early Career",IF(Table1[[#This Row],[Age]]&lt;=45,"Mid Career","Senior")))</f>
        <v>Senior</v>
      </c>
      <c r="AK1197" t="str">
        <f>IF(Table1[[#This Row],[MonthlyIncome]]&lt;3000,"Low",IF(Table1[[#This Row],[MonthlyIncome]]&lt;7000,"Medium","High"))</f>
        <v>High</v>
      </c>
      <c r="AL119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198" spans="1:38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tr">
        <f>IF(Table1[[#This Row],[Age]]&lt;=25,"Young",IF(Table1[[#This Row],[Age]]&lt;=35,"Early Career",IF(Table1[[#This Row],[Age]]&lt;=45,"Mid Career","Senior")))</f>
        <v>Mid Career</v>
      </c>
      <c r="AK1198" t="str">
        <f>IF(Table1[[#This Row],[MonthlyIncome]]&lt;3000,"Low",IF(Table1[[#This Row],[MonthlyIncome]]&lt;7000,"Medium","High"))</f>
        <v>High</v>
      </c>
      <c r="AL119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199" spans="1:38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tr">
        <f>IF(Table1[[#This Row],[Age]]&lt;=25,"Young",IF(Table1[[#This Row],[Age]]&lt;=35,"Early Career",IF(Table1[[#This Row],[Age]]&lt;=45,"Mid Career","Senior")))</f>
        <v>Young</v>
      </c>
      <c r="AK1199" t="str">
        <f>IF(Table1[[#This Row],[MonthlyIncome]]&lt;3000,"Low",IF(Table1[[#This Row],[MonthlyIncome]]&lt;7000,"Medium","High"))</f>
        <v>Low</v>
      </c>
      <c r="AL119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200" spans="1:38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tr">
        <f>IF(Table1[[#This Row],[Age]]&lt;=25,"Young",IF(Table1[[#This Row],[Age]]&lt;=35,"Early Career",IF(Table1[[#This Row],[Age]]&lt;=45,"Mid Career","Senior")))</f>
        <v>Early Career</v>
      </c>
      <c r="AK1200" t="str">
        <f>IF(Table1[[#This Row],[MonthlyIncome]]&lt;3000,"Low",IF(Table1[[#This Row],[MonthlyIncome]]&lt;7000,"Medium","High"))</f>
        <v>Medium</v>
      </c>
      <c r="AL120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01" spans="1:38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tr">
        <f>IF(Table1[[#This Row],[Age]]&lt;=25,"Young",IF(Table1[[#This Row],[Age]]&lt;=35,"Early Career",IF(Table1[[#This Row],[Age]]&lt;=45,"Mid Career","Senior")))</f>
        <v>Mid Career</v>
      </c>
      <c r="AK1201" t="str">
        <f>IF(Table1[[#This Row],[MonthlyIncome]]&lt;3000,"Low",IF(Table1[[#This Row],[MonthlyIncome]]&lt;7000,"Medium","High"))</f>
        <v>Medium</v>
      </c>
      <c r="AL120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02" spans="1:38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tr">
        <f>IF(Table1[[#This Row],[Age]]&lt;=25,"Young",IF(Table1[[#This Row],[Age]]&lt;=35,"Early Career",IF(Table1[[#This Row],[Age]]&lt;=45,"Mid Career","Senior")))</f>
        <v>Mid Career</v>
      </c>
      <c r="AK1202" t="str">
        <f>IF(Table1[[#This Row],[MonthlyIncome]]&lt;3000,"Low",IF(Table1[[#This Row],[MonthlyIncome]]&lt;7000,"Medium","High"))</f>
        <v>Medium</v>
      </c>
      <c r="AL120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203" spans="1:38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tr">
        <f>IF(Table1[[#This Row],[Age]]&lt;=25,"Young",IF(Table1[[#This Row],[Age]]&lt;=35,"Early Career",IF(Table1[[#This Row],[Age]]&lt;=45,"Mid Career","Senior")))</f>
        <v>Young</v>
      </c>
      <c r="AK1203" t="str">
        <f>IF(Table1[[#This Row],[MonthlyIncome]]&lt;3000,"Low",IF(Table1[[#This Row],[MonthlyIncome]]&lt;7000,"Medium","High"))</f>
        <v>Medium</v>
      </c>
      <c r="AL1203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04" spans="1:38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tr">
        <f>IF(Table1[[#This Row],[Age]]&lt;=25,"Young",IF(Table1[[#This Row],[Age]]&lt;=35,"Early Career",IF(Table1[[#This Row],[Age]]&lt;=45,"Mid Career","Senior")))</f>
        <v>Mid Career</v>
      </c>
      <c r="AK1204" t="str">
        <f>IF(Table1[[#This Row],[MonthlyIncome]]&lt;3000,"Low",IF(Table1[[#This Row],[MonthlyIncome]]&lt;7000,"Medium","High"))</f>
        <v>Medium</v>
      </c>
      <c r="AL120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205" spans="1:38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tr">
        <f>IF(Table1[[#This Row],[Age]]&lt;=25,"Young",IF(Table1[[#This Row],[Age]]&lt;=35,"Early Career",IF(Table1[[#This Row],[Age]]&lt;=45,"Mid Career","Senior")))</f>
        <v>Senior</v>
      </c>
      <c r="AK1205" t="str">
        <f>IF(Table1[[#This Row],[MonthlyIncome]]&lt;3000,"Low",IF(Table1[[#This Row],[MonthlyIncome]]&lt;7000,"Medium","High"))</f>
        <v>High</v>
      </c>
      <c r="AL120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06" spans="1:38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tr">
        <f>IF(Table1[[#This Row],[Age]]&lt;=25,"Young",IF(Table1[[#This Row],[Age]]&lt;=35,"Early Career",IF(Table1[[#This Row],[Age]]&lt;=45,"Mid Career","Senior")))</f>
        <v>Senior</v>
      </c>
      <c r="AK1206" t="str">
        <f>IF(Table1[[#This Row],[MonthlyIncome]]&lt;3000,"Low",IF(Table1[[#This Row],[MonthlyIncome]]&lt;7000,"Medium","High"))</f>
        <v>Low</v>
      </c>
      <c r="AL120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07" spans="1:38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tr">
        <f>IF(Table1[[#This Row],[Age]]&lt;=25,"Young",IF(Table1[[#This Row],[Age]]&lt;=35,"Early Career",IF(Table1[[#This Row],[Age]]&lt;=45,"Mid Career","Senior")))</f>
        <v>Early Career</v>
      </c>
      <c r="AK1207" t="str">
        <f>IF(Table1[[#This Row],[MonthlyIncome]]&lt;3000,"Low",IF(Table1[[#This Row],[MonthlyIncome]]&lt;7000,"Medium","High"))</f>
        <v>Low</v>
      </c>
      <c r="AL120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208" spans="1:38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tr">
        <f>IF(Table1[[#This Row],[Age]]&lt;=25,"Young",IF(Table1[[#This Row],[Age]]&lt;=35,"Early Career",IF(Table1[[#This Row],[Age]]&lt;=45,"Mid Career","Senior")))</f>
        <v>Early Career</v>
      </c>
      <c r="AK1208" t="str">
        <f>IF(Table1[[#This Row],[MonthlyIncome]]&lt;3000,"Low",IF(Table1[[#This Row],[MonthlyIncome]]&lt;7000,"Medium","High"))</f>
        <v>Low</v>
      </c>
      <c r="AL120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09" spans="1:38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tr">
        <f>IF(Table1[[#This Row],[Age]]&lt;=25,"Young",IF(Table1[[#This Row],[Age]]&lt;=35,"Early Career",IF(Table1[[#This Row],[Age]]&lt;=45,"Mid Career","Senior")))</f>
        <v>Senior</v>
      </c>
      <c r="AK1209" t="str">
        <f>IF(Table1[[#This Row],[MonthlyIncome]]&lt;3000,"Low",IF(Table1[[#This Row],[MonthlyIncome]]&lt;7000,"Medium","High"))</f>
        <v>Medium</v>
      </c>
      <c r="AL120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10" spans="1:38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tr">
        <f>IF(Table1[[#This Row],[Age]]&lt;=25,"Young",IF(Table1[[#This Row],[Age]]&lt;=35,"Early Career",IF(Table1[[#This Row],[Age]]&lt;=45,"Mid Career","Senior")))</f>
        <v>Early Career</v>
      </c>
      <c r="AK1210" t="str">
        <f>IF(Table1[[#This Row],[MonthlyIncome]]&lt;3000,"Low",IF(Table1[[#This Row],[MonthlyIncome]]&lt;7000,"Medium","High"))</f>
        <v>Medium</v>
      </c>
      <c r="AL1210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211" spans="1:38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tr">
        <f>IF(Table1[[#This Row],[Age]]&lt;=25,"Young",IF(Table1[[#This Row],[Age]]&lt;=35,"Early Career",IF(Table1[[#This Row],[Age]]&lt;=45,"Mid Career","Senior")))</f>
        <v>Senior</v>
      </c>
      <c r="AK1211" t="str">
        <f>IF(Table1[[#This Row],[MonthlyIncome]]&lt;3000,"Low",IF(Table1[[#This Row],[MonthlyIncome]]&lt;7000,"Medium","High"))</f>
        <v>High</v>
      </c>
      <c r="AL121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212" spans="1:38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tr">
        <f>IF(Table1[[#This Row],[Age]]&lt;=25,"Young",IF(Table1[[#This Row],[Age]]&lt;=35,"Early Career",IF(Table1[[#This Row],[Age]]&lt;=45,"Mid Career","Senior")))</f>
        <v>Early Career</v>
      </c>
      <c r="AK1212" t="str">
        <f>IF(Table1[[#This Row],[MonthlyIncome]]&lt;3000,"Low",IF(Table1[[#This Row],[MonthlyIncome]]&lt;7000,"Medium","High"))</f>
        <v>Low</v>
      </c>
      <c r="AL1212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213" spans="1:38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tr">
        <f>IF(Table1[[#This Row],[Age]]&lt;=25,"Young",IF(Table1[[#This Row],[Age]]&lt;=35,"Early Career",IF(Table1[[#This Row],[Age]]&lt;=45,"Mid Career","Senior")))</f>
        <v>Mid Career</v>
      </c>
      <c r="AK1213" t="str">
        <f>IF(Table1[[#This Row],[MonthlyIncome]]&lt;3000,"Low",IF(Table1[[#This Row],[MonthlyIncome]]&lt;7000,"Medium","High"))</f>
        <v>High</v>
      </c>
      <c r="AL121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14" spans="1:38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tr">
        <f>IF(Table1[[#This Row],[Age]]&lt;=25,"Young",IF(Table1[[#This Row],[Age]]&lt;=35,"Early Career",IF(Table1[[#This Row],[Age]]&lt;=45,"Mid Career","Senior")))</f>
        <v>Early Career</v>
      </c>
      <c r="AK1214" t="str">
        <f>IF(Table1[[#This Row],[MonthlyIncome]]&lt;3000,"Low",IF(Table1[[#This Row],[MonthlyIncome]]&lt;7000,"Medium","High"))</f>
        <v>Low</v>
      </c>
      <c r="AL121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15" spans="1:38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tr">
        <f>IF(Table1[[#This Row],[Age]]&lt;=25,"Young",IF(Table1[[#This Row],[Age]]&lt;=35,"Early Career",IF(Table1[[#This Row],[Age]]&lt;=45,"Mid Career","Senior")))</f>
        <v>Young</v>
      </c>
      <c r="AK1215" t="str">
        <f>IF(Table1[[#This Row],[MonthlyIncome]]&lt;3000,"Low",IF(Table1[[#This Row],[MonthlyIncome]]&lt;7000,"Medium","High"))</f>
        <v>Low</v>
      </c>
      <c r="AL121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16" spans="1:38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tr">
        <f>IF(Table1[[#This Row],[Age]]&lt;=25,"Young",IF(Table1[[#This Row],[Age]]&lt;=35,"Early Career",IF(Table1[[#This Row],[Age]]&lt;=45,"Mid Career","Senior")))</f>
        <v>Mid Career</v>
      </c>
      <c r="AK1216" t="str">
        <f>IF(Table1[[#This Row],[MonthlyIncome]]&lt;3000,"Low",IF(Table1[[#This Row],[MonthlyIncome]]&lt;7000,"Medium","High"))</f>
        <v>High</v>
      </c>
      <c r="AL121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17" spans="1:38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tr">
        <f>IF(Table1[[#This Row],[Age]]&lt;=25,"Young",IF(Table1[[#This Row],[Age]]&lt;=35,"Early Career",IF(Table1[[#This Row],[Age]]&lt;=45,"Mid Career","Senior")))</f>
        <v>Early Career</v>
      </c>
      <c r="AK1217" t="str">
        <f>IF(Table1[[#This Row],[MonthlyIncome]]&lt;3000,"Low",IF(Table1[[#This Row],[MonthlyIncome]]&lt;7000,"Medium","High"))</f>
        <v>Medium</v>
      </c>
      <c r="AL121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18" spans="1:38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tr">
        <f>IF(Table1[[#This Row],[Age]]&lt;=25,"Young",IF(Table1[[#This Row],[Age]]&lt;=35,"Early Career",IF(Table1[[#This Row],[Age]]&lt;=45,"Mid Career","Senior")))</f>
        <v>Mid Career</v>
      </c>
      <c r="AK1218" t="str">
        <f>IF(Table1[[#This Row],[MonthlyIncome]]&lt;3000,"Low",IF(Table1[[#This Row],[MonthlyIncome]]&lt;7000,"Medium","High"))</f>
        <v>High</v>
      </c>
      <c r="AL121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19" spans="1:38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tr">
        <f>IF(Table1[[#This Row],[Age]]&lt;=25,"Young",IF(Table1[[#This Row],[Age]]&lt;=35,"Early Career",IF(Table1[[#This Row],[Age]]&lt;=45,"Mid Career","Senior")))</f>
        <v>Young</v>
      </c>
      <c r="AK1219" t="str">
        <f>IF(Table1[[#This Row],[MonthlyIncome]]&lt;3000,"Low",IF(Table1[[#This Row],[MonthlyIncome]]&lt;7000,"Medium","High"))</f>
        <v>Medium</v>
      </c>
      <c r="AL121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20" spans="1:38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tr">
        <f>IF(Table1[[#This Row],[Age]]&lt;=25,"Young",IF(Table1[[#This Row],[Age]]&lt;=35,"Early Career",IF(Table1[[#This Row],[Age]]&lt;=45,"Mid Career","Senior")))</f>
        <v>Mid Career</v>
      </c>
      <c r="AK1220" t="str">
        <f>IF(Table1[[#This Row],[MonthlyIncome]]&lt;3000,"Low",IF(Table1[[#This Row],[MonthlyIncome]]&lt;7000,"Medium","High"))</f>
        <v>High</v>
      </c>
      <c r="AL122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21" spans="1:38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tr">
        <f>IF(Table1[[#This Row],[Age]]&lt;=25,"Young",IF(Table1[[#This Row],[Age]]&lt;=35,"Early Career",IF(Table1[[#This Row],[Age]]&lt;=45,"Mid Career","Senior")))</f>
        <v>Early Career</v>
      </c>
      <c r="AK1221" t="str">
        <f>IF(Table1[[#This Row],[MonthlyIncome]]&lt;3000,"Low",IF(Table1[[#This Row],[MonthlyIncome]]&lt;7000,"Medium","High"))</f>
        <v>Low</v>
      </c>
      <c r="AL122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22" spans="1:38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tr">
        <f>IF(Table1[[#This Row],[Age]]&lt;=25,"Young",IF(Table1[[#This Row],[Age]]&lt;=35,"Early Career",IF(Table1[[#This Row],[Age]]&lt;=45,"Mid Career","Senior")))</f>
        <v>Mid Career</v>
      </c>
      <c r="AK1222" t="str">
        <f>IF(Table1[[#This Row],[MonthlyIncome]]&lt;3000,"Low",IF(Table1[[#This Row],[MonthlyIncome]]&lt;7000,"Medium","High"))</f>
        <v>Medium</v>
      </c>
      <c r="AL1222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223" spans="1:38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tr">
        <f>IF(Table1[[#This Row],[Age]]&lt;=25,"Young",IF(Table1[[#This Row],[Age]]&lt;=35,"Early Career",IF(Table1[[#This Row],[Age]]&lt;=45,"Mid Career","Senior")))</f>
        <v>Mid Career</v>
      </c>
      <c r="AK1223" t="str">
        <f>IF(Table1[[#This Row],[MonthlyIncome]]&lt;3000,"Low",IF(Table1[[#This Row],[MonthlyIncome]]&lt;7000,"Medium","High"))</f>
        <v>High</v>
      </c>
      <c r="AL1223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224" spans="1:38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tr">
        <f>IF(Table1[[#This Row],[Age]]&lt;=25,"Young",IF(Table1[[#This Row],[Age]]&lt;=35,"Early Career",IF(Table1[[#This Row],[Age]]&lt;=45,"Mid Career","Senior")))</f>
        <v>Young</v>
      </c>
      <c r="AK1224" t="str">
        <f>IF(Table1[[#This Row],[MonthlyIncome]]&lt;3000,"Low",IF(Table1[[#This Row],[MonthlyIncome]]&lt;7000,"Medium","High"))</f>
        <v>Low</v>
      </c>
      <c r="AL122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225" spans="1:38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tr">
        <f>IF(Table1[[#This Row],[Age]]&lt;=25,"Young",IF(Table1[[#This Row],[Age]]&lt;=35,"Early Career",IF(Table1[[#This Row],[Age]]&lt;=45,"Mid Career","Senior")))</f>
        <v>Senior</v>
      </c>
      <c r="AK1225" t="str">
        <f>IF(Table1[[#This Row],[MonthlyIncome]]&lt;3000,"Low",IF(Table1[[#This Row],[MonthlyIncome]]&lt;7000,"Medium","High"))</f>
        <v>High</v>
      </c>
      <c r="AL1225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226" spans="1:38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tr">
        <f>IF(Table1[[#This Row],[Age]]&lt;=25,"Young",IF(Table1[[#This Row],[Age]]&lt;=35,"Early Career",IF(Table1[[#This Row],[Age]]&lt;=45,"Mid Career","Senior")))</f>
        <v>Early Career</v>
      </c>
      <c r="AK1226" t="str">
        <f>IF(Table1[[#This Row],[MonthlyIncome]]&lt;3000,"Low",IF(Table1[[#This Row],[MonthlyIncome]]&lt;7000,"Medium","High"))</f>
        <v>Low</v>
      </c>
      <c r="AL122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27" spans="1:38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tr">
        <f>IF(Table1[[#This Row],[Age]]&lt;=25,"Young",IF(Table1[[#This Row],[Age]]&lt;=35,"Early Career",IF(Table1[[#This Row],[Age]]&lt;=45,"Mid Career","Senior")))</f>
        <v>Mid Career</v>
      </c>
      <c r="AK1227" t="str">
        <f>IF(Table1[[#This Row],[MonthlyIncome]]&lt;3000,"Low",IF(Table1[[#This Row],[MonthlyIncome]]&lt;7000,"Medium","High"))</f>
        <v>High</v>
      </c>
      <c r="AL1227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228" spans="1:38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tr">
        <f>IF(Table1[[#This Row],[Age]]&lt;=25,"Young",IF(Table1[[#This Row],[Age]]&lt;=35,"Early Career",IF(Table1[[#This Row],[Age]]&lt;=45,"Mid Career","Senior")))</f>
        <v>Early Career</v>
      </c>
      <c r="AK1228" t="str">
        <f>IF(Table1[[#This Row],[MonthlyIncome]]&lt;3000,"Low",IF(Table1[[#This Row],[MonthlyIncome]]&lt;7000,"Medium","High"))</f>
        <v>Medium</v>
      </c>
      <c r="AL122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29" spans="1:38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tr">
        <f>IF(Table1[[#This Row],[Age]]&lt;=25,"Young",IF(Table1[[#This Row],[Age]]&lt;=35,"Early Career",IF(Table1[[#This Row],[Age]]&lt;=45,"Mid Career","Senior")))</f>
        <v>Early Career</v>
      </c>
      <c r="AK1229" t="str">
        <f>IF(Table1[[#This Row],[MonthlyIncome]]&lt;3000,"Low",IF(Table1[[#This Row],[MonthlyIncome]]&lt;7000,"Medium","High"))</f>
        <v>Medium</v>
      </c>
      <c r="AL122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30" spans="1:38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tr">
        <f>IF(Table1[[#This Row],[Age]]&lt;=25,"Young",IF(Table1[[#This Row],[Age]]&lt;=35,"Early Career",IF(Table1[[#This Row],[Age]]&lt;=45,"Mid Career","Senior")))</f>
        <v>Mid Career</v>
      </c>
      <c r="AK1230" t="str">
        <f>IF(Table1[[#This Row],[MonthlyIncome]]&lt;3000,"Low",IF(Table1[[#This Row],[MonthlyIncome]]&lt;7000,"Medium","High"))</f>
        <v>Medium</v>
      </c>
      <c r="AL123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31" spans="1:38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tr">
        <f>IF(Table1[[#This Row],[Age]]&lt;=25,"Young",IF(Table1[[#This Row],[Age]]&lt;=35,"Early Career",IF(Table1[[#This Row],[Age]]&lt;=45,"Mid Career","Senior")))</f>
        <v>Mid Career</v>
      </c>
      <c r="AK1231" t="str">
        <f>IF(Table1[[#This Row],[MonthlyIncome]]&lt;3000,"Low",IF(Table1[[#This Row],[MonthlyIncome]]&lt;7000,"Medium","High"))</f>
        <v>Medium</v>
      </c>
      <c r="AL123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232" spans="1:38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tr">
        <f>IF(Table1[[#This Row],[Age]]&lt;=25,"Young",IF(Table1[[#This Row],[Age]]&lt;=35,"Early Career",IF(Table1[[#This Row],[Age]]&lt;=45,"Mid Career","Senior")))</f>
        <v>Young</v>
      </c>
      <c r="AK1232" t="str">
        <f>IF(Table1[[#This Row],[MonthlyIncome]]&lt;3000,"Low",IF(Table1[[#This Row],[MonthlyIncome]]&lt;7000,"Medium","High"))</f>
        <v>Medium</v>
      </c>
      <c r="AL123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33" spans="1:38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tr">
        <f>IF(Table1[[#This Row],[Age]]&lt;=25,"Young",IF(Table1[[#This Row],[Age]]&lt;=35,"Early Career",IF(Table1[[#This Row],[Age]]&lt;=45,"Mid Career","Senior")))</f>
        <v>Senior</v>
      </c>
      <c r="AK1233" t="str">
        <f>IF(Table1[[#This Row],[MonthlyIncome]]&lt;3000,"Low",IF(Table1[[#This Row],[MonthlyIncome]]&lt;7000,"Medium","High"))</f>
        <v>Medium</v>
      </c>
      <c r="AL123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34" spans="1:38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tr">
        <f>IF(Table1[[#This Row],[Age]]&lt;=25,"Young",IF(Table1[[#This Row],[Age]]&lt;=35,"Early Career",IF(Table1[[#This Row],[Age]]&lt;=45,"Mid Career","Senior")))</f>
        <v>Early Career</v>
      </c>
      <c r="AK1234" t="str">
        <f>IF(Table1[[#This Row],[MonthlyIncome]]&lt;3000,"Low",IF(Table1[[#This Row],[MonthlyIncome]]&lt;7000,"Medium","High"))</f>
        <v>Medium</v>
      </c>
      <c r="AL123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35" spans="1:38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tr">
        <f>IF(Table1[[#This Row],[Age]]&lt;=25,"Young",IF(Table1[[#This Row],[Age]]&lt;=35,"Early Career",IF(Table1[[#This Row],[Age]]&lt;=45,"Mid Career","Senior")))</f>
        <v>Early Career</v>
      </c>
      <c r="AK1235" t="str">
        <f>IF(Table1[[#This Row],[MonthlyIncome]]&lt;3000,"Low",IF(Table1[[#This Row],[MonthlyIncome]]&lt;7000,"Medium","High"))</f>
        <v>Low</v>
      </c>
      <c r="AL123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36" spans="1:38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tr">
        <f>IF(Table1[[#This Row],[Age]]&lt;=25,"Young",IF(Table1[[#This Row],[Age]]&lt;=35,"Early Career",IF(Table1[[#This Row],[Age]]&lt;=45,"Mid Career","Senior")))</f>
        <v>Senior</v>
      </c>
      <c r="AK1236" t="str">
        <f>IF(Table1[[#This Row],[MonthlyIncome]]&lt;3000,"Low",IF(Table1[[#This Row],[MonthlyIncome]]&lt;7000,"Medium","High"))</f>
        <v>Medium</v>
      </c>
      <c r="AL1236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237" spans="1:38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tr">
        <f>IF(Table1[[#This Row],[Age]]&lt;=25,"Young",IF(Table1[[#This Row],[Age]]&lt;=35,"Early Career",IF(Table1[[#This Row],[Age]]&lt;=45,"Mid Career","Senior")))</f>
        <v>Senior</v>
      </c>
      <c r="AK1237" t="str">
        <f>IF(Table1[[#This Row],[MonthlyIncome]]&lt;3000,"Low",IF(Table1[[#This Row],[MonthlyIncome]]&lt;7000,"Medium","High"))</f>
        <v>High</v>
      </c>
      <c r="AL123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38" spans="1:38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tr">
        <f>IF(Table1[[#This Row],[Age]]&lt;=25,"Young",IF(Table1[[#This Row],[Age]]&lt;=35,"Early Career",IF(Table1[[#This Row],[Age]]&lt;=45,"Mid Career","Senior")))</f>
        <v>Mid Career</v>
      </c>
      <c r="AK1238" t="str">
        <f>IF(Table1[[#This Row],[MonthlyIncome]]&lt;3000,"Low",IF(Table1[[#This Row],[MonthlyIncome]]&lt;7000,"Medium","High"))</f>
        <v>Medium</v>
      </c>
      <c r="AL123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239" spans="1:38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tr">
        <f>IF(Table1[[#This Row],[Age]]&lt;=25,"Young",IF(Table1[[#This Row],[Age]]&lt;=35,"Early Career",IF(Table1[[#This Row],[Age]]&lt;=45,"Mid Career","Senior")))</f>
        <v>Early Career</v>
      </c>
      <c r="AK1239" t="str">
        <f>IF(Table1[[#This Row],[MonthlyIncome]]&lt;3000,"Low",IF(Table1[[#This Row],[MonthlyIncome]]&lt;7000,"Medium","High"))</f>
        <v>Medium</v>
      </c>
      <c r="AL123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240" spans="1:38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tr">
        <f>IF(Table1[[#This Row],[Age]]&lt;=25,"Young",IF(Table1[[#This Row],[Age]]&lt;=35,"Early Career",IF(Table1[[#This Row],[Age]]&lt;=45,"Mid Career","Senior")))</f>
        <v>Young</v>
      </c>
      <c r="AK1240" t="str">
        <f>IF(Table1[[#This Row],[MonthlyIncome]]&lt;3000,"Low",IF(Table1[[#This Row],[MonthlyIncome]]&lt;7000,"Medium","High"))</f>
        <v>Medium</v>
      </c>
      <c r="AL124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41" spans="1:38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tr">
        <f>IF(Table1[[#This Row],[Age]]&lt;=25,"Young",IF(Table1[[#This Row],[Age]]&lt;=35,"Early Career",IF(Table1[[#This Row],[Age]]&lt;=45,"Mid Career","Senior")))</f>
        <v>Early Career</v>
      </c>
      <c r="AK1241" t="str">
        <f>IF(Table1[[#This Row],[MonthlyIncome]]&lt;3000,"Low",IF(Table1[[#This Row],[MonthlyIncome]]&lt;7000,"Medium","High"))</f>
        <v>Medium</v>
      </c>
      <c r="AL124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42" spans="1:38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tr">
        <f>IF(Table1[[#This Row],[Age]]&lt;=25,"Young",IF(Table1[[#This Row],[Age]]&lt;=35,"Early Career",IF(Table1[[#This Row],[Age]]&lt;=45,"Mid Career","Senior")))</f>
        <v>Mid Career</v>
      </c>
      <c r="AK1242" t="str">
        <f>IF(Table1[[#This Row],[MonthlyIncome]]&lt;3000,"Low",IF(Table1[[#This Row],[MonthlyIncome]]&lt;7000,"Medium","High"))</f>
        <v>Medium</v>
      </c>
      <c r="AL124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43" spans="1:38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tr">
        <f>IF(Table1[[#This Row],[Age]]&lt;=25,"Young",IF(Table1[[#This Row],[Age]]&lt;=35,"Early Career",IF(Table1[[#This Row],[Age]]&lt;=45,"Mid Career","Senior")))</f>
        <v>Early Career</v>
      </c>
      <c r="AK1243" t="str">
        <f>IF(Table1[[#This Row],[MonthlyIncome]]&lt;3000,"Low",IF(Table1[[#This Row],[MonthlyIncome]]&lt;7000,"Medium","High"))</f>
        <v>High</v>
      </c>
      <c r="AL1243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44" spans="1:38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tr">
        <f>IF(Table1[[#This Row],[Age]]&lt;=25,"Young",IF(Table1[[#This Row],[Age]]&lt;=35,"Early Career",IF(Table1[[#This Row],[Age]]&lt;=45,"Mid Career","Senior")))</f>
        <v>Mid Career</v>
      </c>
      <c r="AK1244" t="str">
        <f>IF(Table1[[#This Row],[MonthlyIncome]]&lt;3000,"Low",IF(Table1[[#This Row],[MonthlyIncome]]&lt;7000,"Medium","High"))</f>
        <v>High</v>
      </c>
      <c r="AL1244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245" spans="1:38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tr">
        <f>IF(Table1[[#This Row],[Age]]&lt;=25,"Young",IF(Table1[[#This Row],[Age]]&lt;=35,"Early Career",IF(Table1[[#This Row],[Age]]&lt;=45,"Mid Career","Senior")))</f>
        <v>Mid Career</v>
      </c>
      <c r="AK1245" t="str">
        <f>IF(Table1[[#This Row],[MonthlyIncome]]&lt;3000,"Low",IF(Table1[[#This Row],[MonthlyIncome]]&lt;7000,"Medium","High"))</f>
        <v>High</v>
      </c>
      <c r="AL124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46" spans="1:38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tr">
        <f>IF(Table1[[#This Row],[Age]]&lt;=25,"Young",IF(Table1[[#This Row],[Age]]&lt;=35,"Early Career",IF(Table1[[#This Row],[Age]]&lt;=45,"Mid Career","Senior")))</f>
        <v>Early Career</v>
      </c>
      <c r="AK1246" t="str">
        <f>IF(Table1[[#This Row],[MonthlyIncome]]&lt;3000,"Low",IF(Table1[[#This Row],[MonthlyIncome]]&lt;7000,"Medium","High"))</f>
        <v>Medium</v>
      </c>
      <c r="AL124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47" spans="1:38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tr">
        <f>IF(Table1[[#This Row],[Age]]&lt;=25,"Young",IF(Table1[[#This Row],[Age]]&lt;=35,"Early Career",IF(Table1[[#This Row],[Age]]&lt;=45,"Mid Career","Senior")))</f>
        <v>Young</v>
      </c>
      <c r="AK1247" t="str">
        <f>IF(Table1[[#This Row],[MonthlyIncome]]&lt;3000,"Low",IF(Table1[[#This Row],[MonthlyIncome]]&lt;7000,"Medium","High"))</f>
        <v>Low</v>
      </c>
      <c r="AL124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248" spans="1:38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tr">
        <f>IF(Table1[[#This Row],[Age]]&lt;=25,"Young",IF(Table1[[#This Row],[Age]]&lt;=35,"Early Career",IF(Table1[[#This Row],[Age]]&lt;=45,"Mid Career","Senior")))</f>
        <v>Early Career</v>
      </c>
      <c r="AK1248" t="str">
        <f>IF(Table1[[#This Row],[MonthlyIncome]]&lt;3000,"Low",IF(Table1[[#This Row],[MonthlyIncome]]&lt;7000,"Medium","High"))</f>
        <v>Low</v>
      </c>
      <c r="AL124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49" spans="1:38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tr">
        <f>IF(Table1[[#This Row],[Age]]&lt;=25,"Young",IF(Table1[[#This Row],[Age]]&lt;=35,"Early Career",IF(Table1[[#This Row],[Age]]&lt;=45,"Mid Career","Senior")))</f>
        <v>Early Career</v>
      </c>
      <c r="AK1249" t="str">
        <f>IF(Table1[[#This Row],[MonthlyIncome]]&lt;3000,"Low",IF(Table1[[#This Row],[MonthlyIncome]]&lt;7000,"Medium","High"))</f>
        <v>High</v>
      </c>
      <c r="AL124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50" spans="1:38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tr">
        <f>IF(Table1[[#This Row],[Age]]&lt;=25,"Young",IF(Table1[[#This Row],[Age]]&lt;=35,"Early Career",IF(Table1[[#This Row],[Age]]&lt;=45,"Mid Career","Senior")))</f>
        <v>Early Career</v>
      </c>
      <c r="AK1250" t="str">
        <f>IF(Table1[[#This Row],[MonthlyIncome]]&lt;3000,"Low",IF(Table1[[#This Row],[MonthlyIncome]]&lt;7000,"Medium","High"))</f>
        <v>Medium</v>
      </c>
      <c r="AL125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51" spans="1:38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tr">
        <f>IF(Table1[[#This Row],[Age]]&lt;=25,"Young",IF(Table1[[#This Row],[Age]]&lt;=35,"Early Career",IF(Table1[[#This Row],[Age]]&lt;=45,"Mid Career","Senior")))</f>
        <v>Early Career</v>
      </c>
      <c r="AK1251" t="str">
        <f>IF(Table1[[#This Row],[MonthlyIncome]]&lt;3000,"Low",IF(Table1[[#This Row],[MonthlyIncome]]&lt;7000,"Medium","High"))</f>
        <v>Low</v>
      </c>
      <c r="AL125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252" spans="1:38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tr">
        <f>IF(Table1[[#This Row],[Age]]&lt;=25,"Young",IF(Table1[[#This Row],[Age]]&lt;=35,"Early Career",IF(Table1[[#This Row],[Age]]&lt;=45,"Mid Career","Senior")))</f>
        <v>Early Career</v>
      </c>
      <c r="AK1252" t="str">
        <f>IF(Table1[[#This Row],[MonthlyIncome]]&lt;3000,"Low",IF(Table1[[#This Row],[MonthlyIncome]]&lt;7000,"Medium","High"))</f>
        <v>Medium</v>
      </c>
      <c r="AL125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53" spans="1:38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tr">
        <f>IF(Table1[[#This Row],[Age]]&lt;=25,"Young",IF(Table1[[#This Row],[Age]]&lt;=35,"Early Career",IF(Table1[[#This Row],[Age]]&lt;=45,"Mid Career","Senior")))</f>
        <v>Early Career</v>
      </c>
      <c r="AK1253" t="str">
        <f>IF(Table1[[#This Row],[MonthlyIncome]]&lt;3000,"Low",IF(Table1[[#This Row],[MonthlyIncome]]&lt;7000,"Medium","High"))</f>
        <v>High</v>
      </c>
      <c r="AL125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54" spans="1:38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tr">
        <f>IF(Table1[[#This Row],[Age]]&lt;=25,"Young",IF(Table1[[#This Row],[Age]]&lt;=35,"Early Career",IF(Table1[[#This Row],[Age]]&lt;=45,"Mid Career","Senior")))</f>
        <v>Early Career</v>
      </c>
      <c r="AK1254" t="str">
        <f>IF(Table1[[#This Row],[MonthlyIncome]]&lt;3000,"Low",IF(Table1[[#This Row],[MonthlyIncome]]&lt;7000,"Medium","High"))</f>
        <v>Low</v>
      </c>
      <c r="AL125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55" spans="1:38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tr">
        <f>IF(Table1[[#This Row],[Age]]&lt;=25,"Young",IF(Table1[[#This Row],[Age]]&lt;=35,"Early Career",IF(Table1[[#This Row],[Age]]&lt;=45,"Mid Career","Senior")))</f>
        <v>Early Career</v>
      </c>
      <c r="AK1255" t="str">
        <f>IF(Table1[[#This Row],[MonthlyIncome]]&lt;3000,"Low",IF(Table1[[#This Row],[MonthlyIncome]]&lt;7000,"Medium","High"))</f>
        <v>Medium</v>
      </c>
      <c r="AL1255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256" spans="1:38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tr">
        <f>IF(Table1[[#This Row],[Age]]&lt;=25,"Young",IF(Table1[[#This Row],[Age]]&lt;=35,"Early Career",IF(Table1[[#This Row],[Age]]&lt;=45,"Mid Career","Senior")))</f>
        <v>Senior</v>
      </c>
      <c r="AK1256" t="str">
        <f>IF(Table1[[#This Row],[MonthlyIncome]]&lt;3000,"Low",IF(Table1[[#This Row],[MonthlyIncome]]&lt;7000,"Medium","High"))</f>
        <v>Medium</v>
      </c>
      <c r="AL125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57" spans="1:38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tr">
        <f>IF(Table1[[#This Row],[Age]]&lt;=25,"Young",IF(Table1[[#This Row],[Age]]&lt;=35,"Early Career",IF(Table1[[#This Row],[Age]]&lt;=45,"Mid Career","Senior")))</f>
        <v>Early Career</v>
      </c>
      <c r="AK1257" t="str">
        <f>IF(Table1[[#This Row],[MonthlyIncome]]&lt;3000,"Low",IF(Table1[[#This Row],[MonthlyIncome]]&lt;7000,"Medium","High"))</f>
        <v>High</v>
      </c>
      <c r="AL125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258" spans="1:38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tr">
        <f>IF(Table1[[#This Row],[Age]]&lt;=25,"Young",IF(Table1[[#This Row],[Age]]&lt;=35,"Early Career",IF(Table1[[#This Row],[Age]]&lt;=45,"Mid Career","Senior")))</f>
        <v>Mid Career</v>
      </c>
      <c r="AK1258" t="str">
        <f>IF(Table1[[#This Row],[MonthlyIncome]]&lt;3000,"Low",IF(Table1[[#This Row],[MonthlyIncome]]&lt;7000,"Medium","High"))</f>
        <v>Low</v>
      </c>
      <c r="AL125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59" spans="1:38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tr">
        <f>IF(Table1[[#This Row],[Age]]&lt;=25,"Young",IF(Table1[[#This Row],[Age]]&lt;=35,"Early Career",IF(Table1[[#This Row],[Age]]&lt;=45,"Mid Career","Senior")))</f>
        <v>Early Career</v>
      </c>
      <c r="AK1259" t="str">
        <f>IF(Table1[[#This Row],[MonthlyIncome]]&lt;3000,"Low",IF(Table1[[#This Row],[MonthlyIncome]]&lt;7000,"Medium","High"))</f>
        <v>High</v>
      </c>
      <c r="AL125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260" spans="1:38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tr">
        <f>IF(Table1[[#This Row],[Age]]&lt;=25,"Young",IF(Table1[[#This Row],[Age]]&lt;=35,"Early Career",IF(Table1[[#This Row],[Age]]&lt;=45,"Mid Career","Senior")))</f>
        <v>Early Career</v>
      </c>
      <c r="AK1260" t="str">
        <f>IF(Table1[[#This Row],[MonthlyIncome]]&lt;3000,"Low",IF(Table1[[#This Row],[MonthlyIncome]]&lt;7000,"Medium","High"))</f>
        <v>Low</v>
      </c>
      <c r="AL126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261" spans="1:38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tr">
        <f>IF(Table1[[#This Row],[Age]]&lt;=25,"Young",IF(Table1[[#This Row],[Age]]&lt;=35,"Early Career",IF(Table1[[#This Row],[Age]]&lt;=45,"Mid Career","Senior")))</f>
        <v>Early Career</v>
      </c>
      <c r="AK1261" t="str">
        <f>IF(Table1[[#This Row],[MonthlyIncome]]&lt;3000,"Low",IF(Table1[[#This Row],[MonthlyIncome]]&lt;7000,"Medium","High"))</f>
        <v>Medium</v>
      </c>
      <c r="AL126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62" spans="1:38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tr">
        <f>IF(Table1[[#This Row],[Age]]&lt;=25,"Young",IF(Table1[[#This Row],[Age]]&lt;=35,"Early Career",IF(Table1[[#This Row],[Age]]&lt;=45,"Mid Career","Senior")))</f>
        <v>Early Career</v>
      </c>
      <c r="AK1262" t="str">
        <f>IF(Table1[[#This Row],[MonthlyIncome]]&lt;3000,"Low",IF(Table1[[#This Row],[MonthlyIncome]]&lt;7000,"Medium","High"))</f>
        <v>Low</v>
      </c>
      <c r="AL126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63" spans="1:38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tr">
        <f>IF(Table1[[#This Row],[Age]]&lt;=25,"Young",IF(Table1[[#This Row],[Age]]&lt;=35,"Early Career",IF(Table1[[#This Row],[Age]]&lt;=45,"Mid Career","Senior")))</f>
        <v>Mid Career</v>
      </c>
      <c r="AK1263" t="str">
        <f>IF(Table1[[#This Row],[MonthlyIncome]]&lt;3000,"Low",IF(Table1[[#This Row],[MonthlyIncome]]&lt;7000,"Medium","High"))</f>
        <v>Medium</v>
      </c>
      <c r="AL126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264" spans="1:38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tr">
        <f>IF(Table1[[#This Row],[Age]]&lt;=25,"Young",IF(Table1[[#This Row],[Age]]&lt;=35,"Early Career",IF(Table1[[#This Row],[Age]]&lt;=45,"Mid Career","Senior")))</f>
        <v>Mid Career</v>
      </c>
      <c r="AK1264" t="str">
        <f>IF(Table1[[#This Row],[MonthlyIncome]]&lt;3000,"Low",IF(Table1[[#This Row],[MonthlyIncome]]&lt;7000,"Medium","High"))</f>
        <v>Low</v>
      </c>
      <c r="AL126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265" spans="1:38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tr">
        <f>IF(Table1[[#This Row],[Age]]&lt;=25,"Young",IF(Table1[[#This Row],[Age]]&lt;=35,"Early Career",IF(Table1[[#This Row],[Age]]&lt;=45,"Mid Career","Senior")))</f>
        <v>Mid Career</v>
      </c>
      <c r="AK1265" t="str">
        <f>IF(Table1[[#This Row],[MonthlyIncome]]&lt;3000,"Low",IF(Table1[[#This Row],[MonthlyIncome]]&lt;7000,"Medium","High"))</f>
        <v>Low</v>
      </c>
      <c r="AL126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66" spans="1:38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tr">
        <f>IF(Table1[[#This Row],[Age]]&lt;=25,"Young",IF(Table1[[#This Row],[Age]]&lt;=35,"Early Career",IF(Table1[[#This Row],[Age]]&lt;=45,"Mid Career","Senior")))</f>
        <v>Senior</v>
      </c>
      <c r="AK1266" t="str">
        <f>IF(Table1[[#This Row],[MonthlyIncome]]&lt;3000,"Low",IF(Table1[[#This Row],[MonthlyIncome]]&lt;7000,"Medium","High"))</f>
        <v>High</v>
      </c>
      <c r="AL1266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267" spans="1:38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tr">
        <f>IF(Table1[[#This Row],[Age]]&lt;=25,"Young",IF(Table1[[#This Row],[Age]]&lt;=35,"Early Career",IF(Table1[[#This Row],[Age]]&lt;=45,"Mid Career","Senior")))</f>
        <v>Early Career</v>
      </c>
      <c r="AK1267" t="str">
        <f>IF(Table1[[#This Row],[MonthlyIncome]]&lt;3000,"Low",IF(Table1[[#This Row],[MonthlyIncome]]&lt;7000,"Medium","High"))</f>
        <v>Medium</v>
      </c>
      <c r="AL126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68" spans="1:38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tr">
        <f>IF(Table1[[#This Row],[Age]]&lt;=25,"Young",IF(Table1[[#This Row],[Age]]&lt;=35,"Early Career",IF(Table1[[#This Row],[Age]]&lt;=45,"Mid Career","Senior")))</f>
        <v>Mid Career</v>
      </c>
      <c r="AK1268" t="str">
        <f>IF(Table1[[#This Row],[MonthlyIncome]]&lt;3000,"Low",IF(Table1[[#This Row],[MonthlyIncome]]&lt;7000,"Medium","High"))</f>
        <v>Low</v>
      </c>
      <c r="AL126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69" spans="1:38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tr">
        <f>IF(Table1[[#This Row],[Age]]&lt;=25,"Young",IF(Table1[[#This Row],[Age]]&lt;=35,"Early Career",IF(Table1[[#This Row],[Age]]&lt;=45,"Mid Career","Senior")))</f>
        <v>Early Career</v>
      </c>
      <c r="AK1269" t="str">
        <f>IF(Table1[[#This Row],[MonthlyIncome]]&lt;3000,"Low",IF(Table1[[#This Row],[MonthlyIncome]]&lt;7000,"Medium","High"))</f>
        <v>Medium</v>
      </c>
      <c r="AL1269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270" spans="1:38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tr">
        <f>IF(Table1[[#This Row],[Age]]&lt;=25,"Young",IF(Table1[[#This Row],[Age]]&lt;=35,"Early Career",IF(Table1[[#This Row],[Age]]&lt;=45,"Mid Career","Senior")))</f>
        <v>Senior</v>
      </c>
      <c r="AK1270" t="str">
        <f>IF(Table1[[#This Row],[MonthlyIncome]]&lt;3000,"Low",IF(Table1[[#This Row],[MonthlyIncome]]&lt;7000,"Medium","High"))</f>
        <v>High</v>
      </c>
      <c r="AL127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71" spans="1:38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tr">
        <f>IF(Table1[[#This Row],[Age]]&lt;=25,"Young",IF(Table1[[#This Row],[Age]]&lt;=35,"Early Career",IF(Table1[[#This Row],[Age]]&lt;=45,"Mid Career","Senior")))</f>
        <v>Mid Career</v>
      </c>
      <c r="AK1271" t="str">
        <f>IF(Table1[[#This Row],[MonthlyIncome]]&lt;3000,"Low",IF(Table1[[#This Row],[MonthlyIncome]]&lt;7000,"Medium","High"))</f>
        <v>Medium</v>
      </c>
      <c r="AL127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72" spans="1:38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tr">
        <f>IF(Table1[[#This Row],[Age]]&lt;=25,"Young",IF(Table1[[#This Row],[Age]]&lt;=35,"Early Career",IF(Table1[[#This Row],[Age]]&lt;=45,"Mid Career","Senior")))</f>
        <v>Early Career</v>
      </c>
      <c r="AK1272" t="str">
        <f>IF(Table1[[#This Row],[MonthlyIncome]]&lt;3000,"Low",IF(Table1[[#This Row],[MonthlyIncome]]&lt;7000,"Medium","High"))</f>
        <v>Medium</v>
      </c>
      <c r="AL127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273" spans="1:38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tr">
        <f>IF(Table1[[#This Row],[Age]]&lt;=25,"Young",IF(Table1[[#This Row],[Age]]&lt;=35,"Early Career",IF(Table1[[#This Row],[Age]]&lt;=45,"Mid Career","Senior")))</f>
        <v>Young</v>
      </c>
      <c r="AK1273" t="str">
        <f>IF(Table1[[#This Row],[MonthlyIncome]]&lt;3000,"Low",IF(Table1[[#This Row],[MonthlyIncome]]&lt;7000,"Medium","High"))</f>
        <v>Low</v>
      </c>
      <c r="AL127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274" spans="1:38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tr">
        <f>IF(Table1[[#This Row],[Age]]&lt;=25,"Young",IF(Table1[[#This Row],[Age]]&lt;=35,"Early Career",IF(Table1[[#This Row],[Age]]&lt;=45,"Mid Career","Senior")))</f>
        <v>Mid Career</v>
      </c>
      <c r="AK1274" t="str">
        <f>IF(Table1[[#This Row],[MonthlyIncome]]&lt;3000,"Low",IF(Table1[[#This Row],[MonthlyIncome]]&lt;7000,"Medium","High"))</f>
        <v>Medium</v>
      </c>
      <c r="AL127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75" spans="1:38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tr">
        <f>IF(Table1[[#This Row],[Age]]&lt;=25,"Young",IF(Table1[[#This Row],[Age]]&lt;=35,"Early Career",IF(Table1[[#This Row],[Age]]&lt;=45,"Mid Career","Senior")))</f>
        <v>Young</v>
      </c>
      <c r="AK1275" t="str">
        <f>IF(Table1[[#This Row],[MonthlyIncome]]&lt;3000,"Low",IF(Table1[[#This Row],[MonthlyIncome]]&lt;7000,"Medium","High"))</f>
        <v>Low</v>
      </c>
      <c r="AL1275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276" spans="1:38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tr">
        <f>IF(Table1[[#This Row],[Age]]&lt;=25,"Young",IF(Table1[[#This Row],[Age]]&lt;=35,"Early Career",IF(Table1[[#This Row],[Age]]&lt;=45,"Mid Career","Senior")))</f>
        <v>Early Career</v>
      </c>
      <c r="AK1276" t="str">
        <f>IF(Table1[[#This Row],[MonthlyIncome]]&lt;3000,"Low",IF(Table1[[#This Row],[MonthlyIncome]]&lt;7000,"Medium","High"))</f>
        <v>Medium</v>
      </c>
      <c r="AL1276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277" spans="1:38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tr">
        <f>IF(Table1[[#This Row],[Age]]&lt;=25,"Young",IF(Table1[[#This Row],[Age]]&lt;=35,"Early Career",IF(Table1[[#This Row],[Age]]&lt;=45,"Mid Career","Senior")))</f>
        <v>Senior</v>
      </c>
      <c r="AK1277" t="str">
        <f>IF(Table1[[#This Row],[MonthlyIncome]]&lt;3000,"Low",IF(Table1[[#This Row],[MonthlyIncome]]&lt;7000,"Medium","High"))</f>
        <v>High</v>
      </c>
      <c r="AL127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278" spans="1:38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tr">
        <f>IF(Table1[[#This Row],[Age]]&lt;=25,"Young",IF(Table1[[#This Row],[Age]]&lt;=35,"Early Career",IF(Table1[[#This Row],[Age]]&lt;=45,"Mid Career","Senior")))</f>
        <v>Mid Career</v>
      </c>
      <c r="AK1278" t="str">
        <f>IF(Table1[[#This Row],[MonthlyIncome]]&lt;3000,"Low",IF(Table1[[#This Row],[MonthlyIncome]]&lt;7000,"Medium","High"))</f>
        <v>Medium</v>
      </c>
      <c r="AL127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79" spans="1:38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tr">
        <f>IF(Table1[[#This Row],[Age]]&lt;=25,"Young",IF(Table1[[#This Row],[Age]]&lt;=35,"Early Career",IF(Table1[[#This Row],[Age]]&lt;=45,"Mid Career","Senior")))</f>
        <v>Senior</v>
      </c>
      <c r="AK1279" t="str">
        <f>IF(Table1[[#This Row],[MonthlyIncome]]&lt;3000,"Low",IF(Table1[[#This Row],[MonthlyIncome]]&lt;7000,"Medium","High"))</f>
        <v>High</v>
      </c>
      <c r="AL127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280" spans="1:38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tr">
        <f>IF(Table1[[#This Row],[Age]]&lt;=25,"Young",IF(Table1[[#This Row],[Age]]&lt;=35,"Early Career",IF(Table1[[#This Row],[Age]]&lt;=45,"Mid Career","Senior")))</f>
        <v>Mid Career</v>
      </c>
      <c r="AK1280" t="str">
        <f>IF(Table1[[#This Row],[MonthlyIncome]]&lt;3000,"Low",IF(Table1[[#This Row],[MonthlyIncome]]&lt;7000,"Medium","High"))</f>
        <v>High</v>
      </c>
      <c r="AL1280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281" spans="1:38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tr">
        <f>IF(Table1[[#This Row],[Age]]&lt;=25,"Young",IF(Table1[[#This Row],[Age]]&lt;=35,"Early Career",IF(Table1[[#This Row],[Age]]&lt;=45,"Mid Career","Senior")))</f>
        <v>Mid Career</v>
      </c>
      <c r="AK1281" t="str">
        <f>IF(Table1[[#This Row],[MonthlyIncome]]&lt;3000,"Low",IF(Table1[[#This Row],[MonthlyIncome]]&lt;7000,"Medium","High"))</f>
        <v>Low</v>
      </c>
      <c r="AL128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82" spans="1:38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tr">
        <f>IF(Table1[[#This Row],[Age]]&lt;=25,"Young",IF(Table1[[#This Row],[Age]]&lt;=35,"Early Career",IF(Table1[[#This Row],[Age]]&lt;=45,"Mid Career","Senior")))</f>
        <v>Mid Career</v>
      </c>
      <c r="AK1282" t="str">
        <f>IF(Table1[[#This Row],[MonthlyIncome]]&lt;3000,"Low",IF(Table1[[#This Row],[MonthlyIncome]]&lt;7000,"Medium","High"))</f>
        <v>Medium</v>
      </c>
      <c r="AL128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83" spans="1:38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tr">
        <f>IF(Table1[[#This Row],[Age]]&lt;=25,"Young",IF(Table1[[#This Row],[Age]]&lt;=35,"Early Career",IF(Table1[[#This Row],[Age]]&lt;=45,"Mid Career","Senior")))</f>
        <v>Early Career</v>
      </c>
      <c r="AK1283" t="str">
        <f>IF(Table1[[#This Row],[MonthlyIncome]]&lt;3000,"Low",IF(Table1[[#This Row],[MonthlyIncome]]&lt;7000,"Medium","High"))</f>
        <v>Medium</v>
      </c>
      <c r="AL128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84" spans="1:38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tr">
        <f>IF(Table1[[#This Row],[Age]]&lt;=25,"Young",IF(Table1[[#This Row],[Age]]&lt;=35,"Early Career",IF(Table1[[#This Row],[Age]]&lt;=45,"Mid Career","Senior")))</f>
        <v>Early Career</v>
      </c>
      <c r="AK1284" t="str">
        <f>IF(Table1[[#This Row],[MonthlyIncome]]&lt;3000,"Low",IF(Table1[[#This Row],[MonthlyIncome]]&lt;7000,"Medium","High"))</f>
        <v>Medium</v>
      </c>
      <c r="AL128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85" spans="1:38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tr">
        <f>IF(Table1[[#This Row],[Age]]&lt;=25,"Young",IF(Table1[[#This Row],[Age]]&lt;=35,"Early Career",IF(Table1[[#This Row],[Age]]&lt;=45,"Mid Career","Senior")))</f>
        <v>Early Career</v>
      </c>
      <c r="AK1285" t="str">
        <f>IF(Table1[[#This Row],[MonthlyIncome]]&lt;3000,"Low",IF(Table1[[#This Row],[MonthlyIncome]]&lt;7000,"Medium","High"))</f>
        <v>Low</v>
      </c>
      <c r="AL128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86" spans="1:38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tr">
        <f>IF(Table1[[#This Row],[Age]]&lt;=25,"Young",IF(Table1[[#This Row],[Age]]&lt;=35,"Early Career",IF(Table1[[#This Row],[Age]]&lt;=45,"Mid Career","Senior")))</f>
        <v>Mid Career</v>
      </c>
      <c r="AK1286" t="str">
        <f>IF(Table1[[#This Row],[MonthlyIncome]]&lt;3000,"Low",IF(Table1[[#This Row],[MonthlyIncome]]&lt;7000,"Medium","High"))</f>
        <v>High</v>
      </c>
      <c r="AL128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87" spans="1:38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tr">
        <f>IF(Table1[[#This Row],[Age]]&lt;=25,"Young",IF(Table1[[#This Row],[Age]]&lt;=35,"Early Career",IF(Table1[[#This Row],[Age]]&lt;=45,"Mid Career","Senior")))</f>
        <v>Senior</v>
      </c>
      <c r="AK1287" t="str">
        <f>IF(Table1[[#This Row],[MonthlyIncome]]&lt;3000,"Low",IF(Table1[[#This Row],[MonthlyIncome]]&lt;7000,"Medium","High"))</f>
        <v>High</v>
      </c>
      <c r="AL128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288" spans="1:38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tr">
        <f>IF(Table1[[#This Row],[Age]]&lt;=25,"Young",IF(Table1[[#This Row],[Age]]&lt;=35,"Early Career",IF(Table1[[#This Row],[Age]]&lt;=45,"Mid Career","Senior")))</f>
        <v>Mid Career</v>
      </c>
      <c r="AK1288" t="str">
        <f>IF(Table1[[#This Row],[MonthlyIncome]]&lt;3000,"Low",IF(Table1[[#This Row],[MonthlyIncome]]&lt;7000,"Medium","High"))</f>
        <v>Medium</v>
      </c>
      <c r="AL128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89" spans="1:38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tr">
        <f>IF(Table1[[#This Row],[Age]]&lt;=25,"Young",IF(Table1[[#This Row],[Age]]&lt;=35,"Early Career",IF(Table1[[#This Row],[Age]]&lt;=45,"Mid Career","Senior")))</f>
        <v>Mid Career</v>
      </c>
      <c r="AK1289" t="str">
        <f>IF(Table1[[#This Row],[MonthlyIncome]]&lt;3000,"Low",IF(Table1[[#This Row],[MonthlyIncome]]&lt;7000,"Medium","High"))</f>
        <v>Medium</v>
      </c>
      <c r="AL128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290" spans="1:38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tr">
        <f>IF(Table1[[#This Row],[Age]]&lt;=25,"Young",IF(Table1[[#This Row],[Age]]&lt;=35,"Early Career",IF(Table1[[#This Row],[Age]]&lt;=45,"Mid Career","Senior")))</f>
        <v>Early Career</v>
      </c>
      <c r="AK1290" t="str">
        <f>IF(Table1[[#This Row],[MonthlyIncome]]&lt;3000,"Low",IF(Table1[[#This Row],[MonthlyIncome]]&lt;7000,"Medium","High"))</f>
        <v>Medium</v>
      </c>
      <c r="AL129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91" spans="1:38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tr">
        <f>IF(Table1[[#This Row],[Age]]&lt;=25,"Young",IF(Table1[[#This Row],[Age]]&lt;=35,"Early Career",IF(Table1[[#This Row],[Age]]&lt;=45,"Mid Career","Senior")))</f>
        <v>Mid Career</v>
      </c>
      <c r="AK1291" t="str">
        <f>IF(Table1[[#This Row],[MonthlyIncome]]&lt;3000,"Low",IF(Table1[[#This Row],[MonthlyIncome]]&lt;7000,"Medium","High"))</f>
        <v>Low</v>
      </c>
      <c r="AL1291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292" spans="1:38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tr">
        <f>IF(Table1[[#This Row],[Age]]&lt;=25,"Young",IF(Table1[[#This Row],[Age]]&lt;=35,"Early Career",IF(Table1[[#This Row],[Age]]&lt;=45,"Mid Career","Senior")))</f>
        <v>Early Career</v>
      </c>
      <c r="AK1292" t="str">
        <f>IF(Table1[[#This Row],[MonthlyIncome]]&lt;3000,"Low",IF(Table1[[#This Row],[MonthlyIncome]]&lt;7000,"Medium","High"))</f>
        <v>Medium</v>
      </c>
      <c r="AL129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93" spans="1:38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tr">
        <f>IF(Table1[[#This Row],[Age]]&lt;=25,"Young",IF(Table1[[#This Row],[Age]]&lt;=35,"Early Career",IF(Table1[[#This Row],[Age]]&lt;=45,"Mid Career","Senior")))</f>
        <v>Mid Career</v>
      </c>
      <c r="AK1293" t="str">
        <f>IF(Table1[[#This Row],[MonthlyIncome]]&lt;3000,"Low",IF(Table1[[#This Row],[MonthlyIncome]]&lt;7000,"Medium","High"))</f>
        <v>Medium</v>
      </c>
      <c r="AL129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94" spans="1:38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tr">
        <f>IF(Table1[[#This Row],[Age]]&lt;=25,"Young",IF(Table1[[#This Row],[Age]]&lt;=35,"Early Career",IF(Table1[[#This Row],[Age]]&lt;=45,"Mid Career","Senior")))</f>
        <v>Mid Career</v>
      </c>
      <c r="AK1294" t="str">
        <f>IF(Table1[[#This Row],[MonthlyIncome]]&lt;3000,"Low",IF(Table1[[#This Row],[MonthlyIncome]]&lt;7000,"Medium","High"))</f>
        <v>Medium</v>
      </c>
      <c r="AL129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295" spans="1:38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tr">
        <f>IF(Table1[[#This Row],[Age]]&lt;=25,"Young",IF(Table1[[#This Row],[Age]]&lt;=35,"Early Career",IF(Table1[[#This Row],[Age]]&lt;=45,"Mid Career","Senior")))</f>
        <v>Mid Career</v>
      </c>
      <c r="AK1295" t="str">
        <f>IF(Table1[[#This Row],[MonthlyIncome]]&lt;3000,"Low",IF(Table1[[#This Row],[MonthlyIncome]]&lt;7000,"Medium","High"))</f>
        <v>Low</v>
      </c>
      <c r="AL129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96" spans="1:38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tr">
        <f>IF(Table1[[#This Row],[Age]]&lt;=25,"Young",IF(Table1[[#This Row],[Age]]&lt;=35,"Early Career",IF(Table1[[#This Row],[Age]]&lt;=45,"Mid Career","Senior")))</f>
        <v>Mid Career</v>
      </c>
      <c r="AK1296" t="str">
        <f>IF(Table1[[#This Row],[MonthlyIncome]]&lt;3000,"Low",IF(Table1[[#This Row],[MonthlyIncome]]&lt;7000,"Medium","High"))</f>
        <v>Medium</v>
      </c>
      <c r="AL129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297" spans="1:38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tr">
        <f>IF(Table1[[#This Row],[Age]]&lt;=25,"Young",IF(Table1[[#This Row],[Age]]&lt;=35,"Early Career",IF(Table1[[#This Row],[Age]]&lt;=45,"Mid Career","Senior")))</f>
        <v>Mid Career</v>
      </c>
      <c r="AK1297" t="str">
        <f>IF(Table1[[#This Row],[MonthlyIncome]]&lt;3000,"Low",IF(Table1[[#This Row],[MonthlyIncome]]&lt;7000,"Medium","High"))</f>
        <v>High</v>
      </c>
      <c r="AL1297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298" spans="1:38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tr">
        <f>IF(Table1[[#This Row],[Age]]&lt;=25,"Young",IF(Table1[[#This Row],[Age]]&lt;=35,"Early Career",IF(Table1[[#This Row],[Age]]&lt;=45,"Mid Career","Senior")))</f>
        <v>Early Career</v>
      </c>
      <c r="AK1298" t="str">
        <f>IF(Table1[[#This Row],[MonthlyIncome]]&lt;3000,"Low",IF(Table1[[#This Row],[MonthlyIncome]]&lt;7000,"Medium","High"))</f>
        <v>High</v>
      </c>
      <c r="AL129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299" spans="1:38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tr">
        <f>IF(Table1[[#This Row],[Age]]&lt;=25,"Young",IF(Table1[[#This Row],[Age]]&lt;=35,"Early Career",IF(Table1[[#This Row],[Age]]&lt;=45,"Mid Career","Senior")))</f>
        <v>Early Career</v>
      </c>
      <c r="AK1299" t="str">
        <f>IF(Table1[[#This Row],[MonthlyIncome]]&lt;3000,"Low",IF(Table1[[#This Row],[MonthlyIncome]]&lt;7000,"Medium","High"))</f>
        <v>Low</v>
      </c>
      <c r="AL129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00" spans="1:38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tr">
        <f>IF(Table1[[#This Row],[Age]]&lt;=25,"Young",IF(Table1[[#This Row],[Age]]&lt;=35,"Early Career",IF(Table1[[#This Row],[Age]]&lt;=45,"Mid Career","Senior")))</f>
        <v>Senior</v>
      </c>
      <c r="AK1300" t="str">
        <f>IF(Table1[[#This Row],[MonthlyIncome]]&lt;3000,"Low",IF(Table1[[#This Row],[MonthlyIncome]]&lt;7000,"Medium","High"))</f>
        <v>High</v>
      </c>
      <c r="AL130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301" spans="1:38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tr">
        <f>IF(Table1[[#This Row],[Age]]&lt;=25,"Young",IF(Table1[[#This Row],[Age]]&lt;=35,"Early Career",IF(Table1[[#This Row],[Age]]&lt;=45,"Mid Career","Senior")))</f>
        <v>Mid Career</v>
      </c>
      <c r="AK1301" t="str">
        <f>IF(Table1[[#This Row],[MonthlyIncome]]&lt;3000,"Low",IF(Table1[[#This Row],[MonthlyIncome]]&lt;7000,"Medium","High"))</f>
        <v>Medium</v>
      </c>
      <c r="AL130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02" spans="1:38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tr">
        <f>IF(Table1[[#This Row],[Age]]&lt;=25,"Young",IF(Table1[[#This Row],[Age]]&lt;=35,"Early Career",IF(Table1[[#This Row],[Age]]&lt;=45,"Mid Career","Senior")))</f>
        <v>Early Career</v>
      </c>
      <c r="AK1302" t="str">
        <f>IF(Table1[[#This Row],[MonthlyIncome]]&lt;3000,"Low",IF(Table1[[#This Row],[MonthlyIncome]]&lt;7000,"Medium","High"))</f>
        <v>Medium</v>
      </c>
      <c r="AL130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303" spans="1:38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tr">
        <f>IF(Table1[[#This Row],[Age]]&lt;=25,"Young",IF(Table1[[#This Row],[Age]]&lt;=35,"Early Career",IF(Table1[[#This Row],[Age]]&lt;=45,"Mid Career","Senior")))</f>
        <v>Senior</v>
      </c>
      <c r="AK1303" t="str">
        <f>IF(Table1[[#This Row],[MonthlyIncome]]&lt;3000,"Low",IF(Table1[[#This Row],[MonthlyIncome]]&lt;7000,"Medium","High"))</f>
        <v>High</v>
      </c>
      <c r="AL1303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304" spans="1:38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tr">
        <f>IF(Table1[[#This Row],[Age]]&lt;=25,"Young",IF(Table1[[#This Row],[Age]]&lt;=35,"Early Career",IF(Table1[[#This Row],[Age]]&lt;=45,"Mid Career","Senior")))</f>
        <v>Early Career</v>
      </c>
      <c r="AK1304" t="str">
        <f>IF(Table1[[#This Row],[MonthlyIncome]]&lt;3000,"Low",IF(Table1[[#This Row],[MonthlyIncome]]&lt;7000,"Medium","High"))</f>
        <v>Low</v>
      </c>
      <c r="AL130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05" spans="1:38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tr">
        <f>IF(Table1[[#This Row],[Age]]&lt;=25,"Young",IF(Table1[[#This Row],[Age]]&lt;=35,"Early Career",IF(Table1[[#This Row],[Age]]&lt;=45,"Mid Career","Senior")))</f>
        <v>Senior</v>
      </c>
      <c r="AK1305" t="str">
        <f>IF(Table1[[#This Row],[MonthlyIncome]]&lt;3000,"Low",IF(Table1[[#This Row],[MonthlyIncome]]&lt;7000,"Medium","High"))</f>
        <v>High</v>
      </c>
      <c r="AL1305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306" spans="1:38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tr">
        <f>IF(Table1[[#This Row],[Age]]&lt;=25,"Young",IF(Table1[[#This Row],[Age]]&lt;=35,"Early Career",IF(Table1[[#This Row],[Age]]&lt;=45,"Mid Career","Senior")))</f>
        <v>Mid Career</v>
      </c>
      <c r="AK1306" t="str">
        <f>IF(Table1[[#This Row],[MonthlyIncome]]&lt;3000,"Low",IF(Table1[[#This Row],[MonthlyIncome]]&lt;7000,"Medium","High"))</f>
        <v>Medium</v>
      </c>
      <c r="AL130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307" spans="1:38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tr">
        <f>IF(Table1[[#This Row],[Age]]&lt;=25,"Young",IF(Table1[[#This Row],[Age]]&lt;=35,"Early Career",IF(Table1[[#This Row],[Age]]&lt;=45,"Mid Career","Senior")))</f>
        <v>Senior</v>
      </c>
      <c r="AK1307" t="str">
        <f>IF(Table1[[#This Row],[MonthlyIncome]]&lt;3000,"Low",IF(Table1[[#This Row],[MonthlyIncome]]&lt;7000,"Medium","High"))</f>
        <v>Medium</v>
      </c>
      <c r="AL130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308" spans="1:38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tr">
        <f>IF(Table1[[#This Row],[Age]]&lt;=25,"Young",IF(Table1[[#This Row],[Age]]&lt;=35,"Early Career",IF(Table1[[#This Row],[Age]]&lt;=45,"Mid Career","Senior")))</f>
        <v>Early Career</v>
      </c>
      <c r="AK1308" t="str">
        <f>IF(Table1[[#This Row],[MonthlyIncome]]&lt;3000,"Low",IF(Table1[[#This Row],[MonthlyIncome]]&lt;7000,"Medium","High"))</f>
        <v>High</v>
      </c>
      <c r="AL130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09" spans="1:38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tr">
        <f>IF(Table1[[#This Row],[Age]]&lt;=25,"Young",IF(Table1[[#This Row],[Age]]&lt;=35,"Early Career",IF(Table1[[#This Row],[Age]]&lt;=45,"Mid Career","Senior")))</f>
        <v>Early Career</v>
      </c>
      <c r="AK1309" t="str">
        <f>IF(Table1[[#This Row],[MonthlyIncome]]&lt;3000,"Low",IF(Table1[[#This Row],[MonthlyIncome]]&lt;7000,"Medium","High"))</f>
        <v>Medium</v>
      </c>
      <c r="AL130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10" spans="1:38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tr">
        <f>IF(Table1[[#This Row],[Age]]&lt;=25,"Young",IF(Table1[[#This Row],[Age]]&lt;=35,"Early Career",IF(Table1[[#This Row],[Age]]&lt;=45,"Mid Career","Senior")))</f>
        <v>Mid Career</v>
      </c>
      <c r="AK1310" t="str">
        <f>IF(Table1[[#This Row],[MonthlyIncome]]&lt;3000,"Low",IF(Table1[[#This Row],[MonthlyIncome]]&lt;7000,"Medium","High"))</f>
        <v>Medium</v>
      </c>
      <c r="AL131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11" spans="1:38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tr">
        <f>IF(Table1[[#This Row],[Age]]&lt;=25,"Young",IF(Table1[[#This Row],[Age]]&lt;=35,"Early Career",IF(Table1[[#This Row],[Age]]&lt;=45,"Mid Career","Senior")))</f>
        <v>Early Career</v>
      </c>
      <c r="AK1311" t="str">
        <f>IF(Table1[[#This Row],[MonthlyIncome]]&lt;3000,"Low",IF(Table1[[#This Row],[MonthlyIncome]]&lt;7000,"Medium","High"))</f>
        <v>Medium</v>
      </c>
      <c r="AL131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12" spans="1:38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tr">
        <f>IF(Table1[[#This Row],[Age]]&lt;=25,"Young",IF(Table1[[#This Row],[Age]]&lt;=35,"Early Career",IF(Table1[[#This Row],[Age]]&lt;=45,"Mid Career","Senior")))</f>
        <v>Senior</v>
      </c>
      <c r="AK1312" t="str">
        <f>IF(Table1[[#This Row],[MonthlyIncome]]&lt;3000,"Low",IF(Table1[[#This Row],[MonthlyIncome]]&lt;7000,"Medium","High"))</f>
        <v>High</v>
      </c>
      <c r="AL131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313" spans="1:38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tr">
        <f>IF(Table1[[#This Row],[Age]]&lt;=25,"Young",IF(Table1[[#This Row],[Age]]&lt;=35,"Early Career",IF(Table1[[#This Row],[Age]]&lt;=45,"Mid Career","Senior")))</f>
        <v>Young</v>
      </c>
      <c r="AK1313" t="str">
        <f>IF(Table1[[#This Row],[MonthlyIncome]]&lt;3000,"Low",IF(Table1[[#This Row],[MonthlyIncome]]&lt;7000,"Medium","High"))</f>
        <v>Low</v>
      </c>
      <c r="AL131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314" spans="1:38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tr">
        <f>IF(Table1[[#This Row],[Age]]&lt;=25,"Young",IF(Table1[[#This Row],[Age]]&lt;=35,"Early Career",IF(Table1[[#This Row],[Age]]&lt;=45,"Mid Career","Senior")))</f>
        <v>Early Career</v>
      </c>
      <c r="AK1314" t="str">
        <f>IF(Table1[[#This Row],[MonthlyIncome]]&lt;3000,"Low",IF(Table1[[#This Row],[MonthlyIncome]]&lt;7000,"Medium","High"))</f>
        <v>Low</v>
      </c>
      <c r="AL131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315" spans="1:38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tr">
        <f>IF(Table1[[#This Row],[Age]]&lt;=25,"Young",IF(Table1[[#This Row],[Age]]&lt;=35,"Early Career",IF(Table1[[#This Row],[Age]]&lt;=45,"Mid Career","Senior")))</f>
        <v>Early Career</v>
      </c>
      <c r="AK1315" t="str">
        <f>IF(Table1[[#This Row],[MonthlyIncome]]&lt;3000,"Low",IF(Table1[[#This Row],[MonthlyIncome]]&lt;7000,"Medium","High"))</f>
        <v>Low</v>
      </c>
      <c r="AL1315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316" spans="1:38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tr">
        <f>IF(Table1[[#This Row],[Age]]&lt;=25,"Young",IF(Table1[[#This Row],[Age]]&lt;=35,"Early Career",IF(Table1[[#This Row],[Age]]&lt;=45,"Mid Career","Senior")))</f>
        <v>Mid Career</v>
      </c>
      <c r="AK1316" t="str">
        <f>IF(Table1[[#This Row],[MonthlyIncome]]&lt;3000,"Low",IF(Table1[[#This Row],[MonthlyIncome]]&lt;7000,"Medium","High"))</f>
        <v>Medium</v>
      </c>
      <c r="AL131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317" spans="1:38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tr">
        <f>IF(Table1[[#This Row],[Age]]&lt;=25,"Young",IF(Table1[[#This Row],[Age]]&lt;=35,"Early Career",IF(Table1[[#This Row],[Age]]&lt;=45,"Mid Career","Senior")))</f>
        <v>Mid Career</v>
      </c>
      <c r="AK1317" t="str">
        <f>IF(Table1[[#This Row],[MonthlyIncome]]&lt;3000,"Low",IF(Table1[[#This Row],[MonthlyIncome]]&lt;7000,"Medium","High"))</f>
        <v>Medium</v>
      </c>
      <c r="AL131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318" spans="1:38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tr">
        <f>IF(Table1[[#This Row],[Age]]&lt;=25,"Young",IF(Table1[[#This Row],[Age]]&lt;=35,"Early Career",IF(Table1[[#This Row],[Age]]&lt;=45,"Mid Career","Senior")))</f>
        <v>Mid Career</v>
      </c>
      <c r="AK1318" t="str">
        <f>IF(Table1[[#This Row],[MonthlyIncome]]&lt;3000,"Low",IF(Table1[[#This Row],[MonthlyIncome]]&lt;7000,"Medium","High"))</f>
        <v>Medium</v>
      </c>
      <c r="AL131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319" spans="1:38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tr">
        <f>IF(Table1[[#This Row],[Age]]&lt;=25,"Young",IF(Table1[[#This Row],[Age]]&lt;=35,"Early Career",IF(Table1[[#This Row],[Age]]&lt;=45,"Mid Career","Senior")))</f>
        <v>Early Career</v>
      </c>
      <c r="AK1319" t="str">
        <f>IF(Table1[[#This Row],[MonthlyIncome]]&lt;3000,"Low",IF(Table1[[#This Row],[MonthlyIncome]]&lt;7000,"Medium","High"))</f>
        <v>Low</v>
      </c>
      <c r="AL131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20" spans="1:38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tr">
        <f>IF(Table1[[#This Row],[Age]]&lt;=25,"Young",IF(Table1[[#This Row],[Age]]&lt;=35,"Early Career",IF(Table1[[#This Row],[Age]]&lt;=45,"Mid Career","Senior")))</f>
        <v>Early Career</v>
      </c>
      <c r="AK1320" t="str">
        <f>IF(Table1[[#This Row],[MonthlyIncome]]&lt;3000,"Low",IF(Table1[[#This Row],[MonthlyIncome]]&lt;7000,"Medium","High"))</f>
        <v>Medium</v>
      </c>
      <c r="AL1320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321" spans="1:38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tr">
        <f>IF(Table1[[#This Row],[Age]]&lt;=25,"Young",IF(Table1[[#This Row],[Age]]&lt;=35,"Early Career",IF(Table1[[#This Row],[Age]]&lt;=45,"Mid Career","Senior")))</f>
        <v>Early Career</v>
      </c>
      <c r="AK1321" t="str">
        <f>IF(Table1[[#This Row],[MonthlyIncome]]&lt;3000,"Low",IF(Table1[[#This Row],[MonthlyIncome]]&lt;7000,"Medium","High"))</f>
        <v>Medium</v>
      </c>
      <c r="AL132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322" spans="1:38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tr">
        <f>IF(Table1[[#This Row],[Age]]&lt;=25,"Young",IF(Table1[[#This Row],[Age]]&lt;=35,"Early Career",IF(Table1[[#This Row],[Age]]&lt;=45,"Mid Career","Senior")))</f>
        <v>Mid Career</v>
      </c>
      <c r="AK1322" t="str">
        <f>IF(Table1[[#This Row],[MonthlyIncome]]&lt;3000,"Low",IF(Table1[[#This Row],[MonthlyIncome]]&lt;7000,"Medium","High"))</f>
        <v>Low</v>
      </c>
      <c r="AL132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323" spans="1:38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tr">
        <f>IF(Table1[[#This Row],[Age]]&lt;=25,"Young",IF(Table1[[#This Row],[Age]]&lt;=35,"Early Career",IF(Table1[[#This Row],[Age]]&lt;=45,"Mid Career","Senior")))</f>
        <v>Senior</v>
      </c>
      <c r="AK1323" t="str">
        <f>IF(Table1[[#This Row],[MonthlyIncome]]&lt;3000,"Low",IF(Table1[[#This Row],[MonthlyIncome]]&lt;7000,"Medium","High"))</f>
        <v>Low</v>
      </c>
      <c r="AL132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324" spans="1:38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tr">
        <f>IF(Table1[[#This Row],[Age]]&lt;=25,"Young",IF(Table1[[#This Row],[Age]]&lt;=35,"Early Career",IF(Table1[[#This Row],[Age]]&lt;=45,"Mid Career","Senior")))</f>
        <v>Senior</v>
      </c>
      <c r="AK1324" t="str">
        <f>IF(Table1[[#This Row],[MonthlyIncome]]&lt;3000,"Low",IF(Table1[[#This Row],[MonthlyIncome]]&lt;7000,"Medium","High"))</f>
        <v>High</v>
      </c>
      <c r="AL132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325" spans="1:38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tr">
        <f>IF(Table1[[#This Row],[Age]]&lt;=25,"Young",IF(Table1[[#This Row],[Age]]&lt;=35,"Early Career",IF(Table1[[#This Row],[Age]]&lt;=45,"Mid Career","Senior")))</f>
        <v>Early Career</v>
      </c>
      <c r="AK1325" t="str">
        <f>IF(Table1[[#This Row],[MonthlyIncome]]&lt;3000,"Low",IF(Table1[[#This Row],[MonthlyIncome]]&lt;7000,"Medium","High"))</f>
        <v>Low</v>
      </c>
      <c r="AL132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26" spans="1:38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tr">
        <f>IF(Table1[[#This Row],[Age]]&lt;=25,"Young",IF(Table1[[#This Row],[Age]]&lt;=35,"Early Career",IF(Table1[[#This Row],[Age]]&lt;=45,"Mid Career","Senior")))</f>
        <v>Early Career</v>
      </c>
      <c r="AK1326" t="str">
        <f>IF(Table1[[#This Row],[MonthlyIncome]]&lt;3000,"Low",IF(Table1[[#This Row],[MonthlyIncome]]&lt;7000,"Medium","High"))</f>
        <v>Medium</v>
      </c>
      <c r="AL132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327" spans="1:38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tr">
        <f>IF(Table1[[#This Row],[Age]]&lt;=25,"Young",IF(Table1[[#This Row],[Age]]&lt;=35,"Early Career",IF(Table1[[#This Row],[Age]]&lt;=45,"Mid Career","Senior")))</f>
        <v>Mid Career</v>
      </c>
      <c r="AK1327" t="str">
        <f>IF(Table1[[#This Row],[MonthlyIncome]]&lt;3000,"Low",IF(Table1[[#This Row],[MonthlyIncome]]&lt;7000,"Medium","High"))</f>
        <v>Medium</v>
      </c>
      <c r="AL132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328" spans="1:38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tr">
        <f>IF(Table1[[#This Row],[Age]]&lt;=25,"Young",IF(Table1[[#This Row],[Age]]&lt;=35,"Early Career",IF(Table1[[#This Row],[Age]]&lt;=45,"Mid Career","Senior")))</f>
        <v>Early Career</v>
      </c>
      <c r="AK1328" t="str">
        <f>IF(Table1[[#This Row],[MonthlyIncome]]&lt;3000,"Low",IF(Table1[[#This Row],[MonthlyIncome]]&lt;7000,"Medium","High"))</f>
        <v>High</v>
      </c>
      <c r="AL132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329" spans="1:38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tr">
        <f>IF(Table1[[#This Row],[Age]]&lt;=25,"Young",IF(Table1[[#This Row],[Age]]&lt;=35,"Early Career",IF(Table1[[#This Row],[Age]]&lt;=45,"Mid Career","Senior")))</f>
        <v>Senior</v>
      </c>
      <c r="AK1329" t="str">
        <f>IF(Table1[[#This Row],[MonthlyIncome]]&lt;3000,"Low",IF(Table1[[#This Row],[MonthlyIncome]]&lt;7000,"Medium","High"))</f>
        <v>High</v>
      </c>
      <c r="AL1329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330" spans="1:38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tr">
        <f>IF(Table1[[#This Row],[Age]]&lt;=25,"Young",IF(Table1[[#This Row],[Age]]&lt;=35,"Early Career",IF(Table1[[#This Row],[Age]]&lt;=45,"Mid Career","Senior")))</f>
        <v>Early Career</v>
      </c>
      <c r="AK1330" t="str">
        <f>IF(Table1[[#This Row],[MonthlyIncome]]&lt;3000,"Low",IF(Table1[[#This Row],[MonthlyIncome]]&lt;7000,"Medium","High"))</f>
        <v>Medium</v>
      </c>
      <c r="AL133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331" spans="1:38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tr">
        <f>IF(Table1[[#This Row],[Age]]&lt;=25,"Young",IF(Table1[[#This Row],[Age]]&lt;=35,"Early Career",IF(Table1[[#This Row],[Age]]&lt;=45,"Mid Career","Senior")))</f>
        <v>Early Career</v>
      </c>
      <c r="AK1331" t="str">
        <f>IF(Table1[[#This Row],[MonthlyIncome]]&lt;3000,"Low",IF(Table1[[#This Row],[MonthlyIncome]]&lt;7000,"Medium","High"))</f>
        <v>Low</v>
      </c>
      <c r="AL133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332" spans="1:38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tr">
        <f>IF(Table1[[#This Row],[Age]]&lt;=25,"Young",IF(Table1[[#This Row],[Age]]&lt;=35,"Early Career",IF(Table1[[#This Row],[Age]]&lt;=45,"Mid Career","Senior")))</f>
        <v>Mid Career</v>
      </c>
      <c r="AK1332" t="str">
        <f>IF(Table1[[#This Row],[MonthlyIncome]]&lt;3000,"Low",IF(Table1[[#This Row],[MonthlyIncome]]&lt;7000,"Medium","High"))</f>
        <v>High</v>
      </c>
      <c r="AL1332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333" spans="1:38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tr">
        <f>IF(Table1[[#This Row],[Age]]&lt;=25,"Young",IF(Table1[[#This Row],[Age]]&lt;=35,"Early Career",IF(Table1[[#This Row],[Age]]&lt;=45,"Mid Career","Senior")))</f>
        <v>Senior</v>
      </c>
      <c r="AK1333" t="str">
        <f>IF(Table1[[#This Row],[MonthlyIncome]]&lt;3000,"Low",IF(Table1[[#This Row],[MonthlyIncome]]&lt;7000,"Medium","High"))</f>
        <v>High</v>
      </c>
      <c r="AL1333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334" spans="1:38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tr">
        <f>IF(Table1[[#This Row],[Age]]&lt;=25,"Young",IF(Table1[[#This Row],[Age]]&lt;=35,"Early Career",IF(Table1[[#This Row],[Age]]&lt;=45,"Mid Career","Senior")))</f>
        <v>Early Career</v>
      </c>
      <c r="AK1334" t="str">
        <f>IF(Table1[[#This Row],[MonthlyIncome]]&lt;3000,"Low",IF(Table1[[#This Row],[MonthlyIncome]]&lt;7000,"Medium","High"))</f>
        <v>Low</v>
      </c>
      <c r="AL133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335" spans="1:38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tr">
        <f>IF(Table1[[#This Row],[Age]]&lt;=25,"Young",IF(Table1[[#This Row],[Age]]&lt;=35,"Early Career",IF(Table1[[#This Row],[Age]]&lt;=45,"Mid Career","Senior")))</f>
        <v>Senior</v>
      </c>
      <c r="AK1335" t="str">
        <f>IF(Table1[[#This Row],[MonthlyIncome]]&lt;3000,"Low",IF(Table1[[#This Row],[MonthlyIncome]]&lt;7000,"Medium","High"))</f>
        <v>High</v>
      </c>
      <c r="AL133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336" spans="1:38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tr">
        <f>IF(Table1[[#This Row],[Age]]&lt;=25,"Young",IF(Table1[[#This Row],[Age]]&lt;=35,"Early Career",IF(Table1[[#This Row],[Age]]&lt;=45,"Mid Career","Senior")))</f>
        <v>Early Career</v>
      </c>
      <c r="AK1336" t="str">
        <f>IF(Table1[[#This Row],[MonthlyIncome]]&lt;3000,"Low",IF(Table1[[#This Row],[MonthlyIncome]]&lt;7000,"Medium","High"))</f>
        <v>Medium</v>
      </c>
      <c r="AL133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337" spans="1:38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tr">
        <f>IF(Table1[[#This Row],[Age]]&lt;=25,"Young",IF(Table1[[#This Row],[Age]]&lt;=35,"Early Career",IF(Table1[[#This Row],[Age]]&lt;=45,"Mid Career","Senior")))</f>
        <v>Mid Career</v>
      </c>
      <c r="AK1337" t="str">
        <f>IF(Table1[[#This Row],[MonthlyIncome]]&lt;3000,"Low",IF(Table1[[#This Row],[MonthlyIncome]]&lt;7000,"Medium","High"))</f>
        <v>Medium</v>
      </c>
      <c r="AL133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338" spans="1:38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tr">
        <f>IF(Table1[[#This Row],[Age]]&lt;=25,"Young",IF(Table1[[#This Row],[Age]]&lt;=35,"Early Career",IF(Table1[[#This Row],[Age]]&lt;=45,"Mid Career","Senior")))</f>
        <v>Senior</v>
      </c>
      <c r="AK1338" t="str">
        <f>IF(Table1[[#This Row],[MonthlyIncome]]&lt;3000,"Low",IF(Table1[[#This Row],[MonthlyIncome]]&lt;7000,"Medium","High"))</f>
        <v>Low</v>
      </c>
      <c r="AL133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39" spans="1:38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tr">
        <f>IF(Table1[[#This Row],[Age]]&lt;=25,"Young",IF(Table1[[#This Row],[Age]]&lt;=35,"Early Career",IF(Table1[[#This Row],[Age]]&lt;=45,"Mid Career","Senior")))</f>
        <v>Early Career</v>
      </c>
      <c r="AK1339" t="str">
        <f>IF(Table1[[#This Row],[MonthlyIncome]]&lt;3000,"Low",IF(Table1[[#This Row],[MonthlyIncome]]&lt;7000,"Medium","High"))</f>
        <v>Low</v>
      </c>
      <c r="AL133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340" spans="1:38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tr">
        <f>IF(Table1[[#This Row],[Age]]&lt;=25,"Young",IF(Table1[[#This Row],[Age]]&lt;=35,"Early Career",IF(Table1[[#This Row],[Age]]&lt;=45,"Mid Career","Senior")))</f>
        <v>Early Career</v>
      </c>
      <c r="AK1340" t="str">
        <f>IF(Table1[[#This Row],[MonthlyIncome]]&lt;3000,"Low",IF(Table1[[#This Row],[MonthlyIncome]]&lt;7000,"Medium","High"))</f>
        <v>Low</v>
      </c>
      <c r="AL134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341" spans="1:38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tr">
        <f>IF(Table1[[#This Row],[Age]]&lt;=25,"Young",IF(Table1[[#This Row],[Age]]&lt;=35,"Early Career",IF(Table1[[#This Row],[Age]]&lt;=45,"Mid Career","Senior")))</f>
        <v>Young</v>
      </c>
      <c r="AK1341" t="str">
        <f>IF(Table1[[#This Row],[MonthlyIncome]]&lt;3000,"Low",IF(Table1[[#This Row],[MonthlyIncome]]&lt;7000,"Medium","High"))</f>
        <v>Low</v>
      </c>
      <c r="AL134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342" spans="1:38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tr">
        <f>IF(Table1[[#This Row],[Age]]&lt;=25,"Young",IF(Table1[[#This Row],[Age]]&lt;=35,"Early Career",IF(Table1[[#This Row],[Age]]&lt;=45,"Mid Career","Senior")))</f>
        <v>Mid Career</v>
      </c>
      <c r="AK1342" t="str">
        <f>IF(Table1[[#This Row],[MonthlyIncome]]&lt;3000,"Low",IF(Table1[[#This Row],[MonthlyIncome]]&lt;7000,"Medium","High"))</f>
        <v>Medium</v>
      </c>
      <c r="AL134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343" spans="1:38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tr">
        <f>IF(Table1[[#This Row],[Age]]&lt;=25,"Young",IF(Table1[[#This Row],[Age]]&lt;=35,"Early Career",IF(Table1[[#This Row],[Age]]&lt;=45,"Mid Career","Senior")))</f>
        <v>Early Career</v>
      </c>
      <c r="AK1343" t="str">
        <f>IF(Table1[[#This Row],[MonthlyIncome]]&lt;3000,"Low",IF(Table1[[#This Row],[MonthlyIncome]]&lt;7000,"Medium","High"))</f>
        <v>Medium</v>
      </c>
      <c r="AL134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344" spans="1:38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tr">
        <f>IF(Table1[[#This Row],[Age]]&lt;=25,"Young",IF(Table1[[#This Row],[Age]]&lt;=35,"Early Career",IF(Table1[[#This Row],[Age]]&lt;=45,"Mid Career","Senior")))</f>
        <v>Early Career</v>
      </c>
      <c r="AK1344" t="str">
        <f>IF(Table1[[#This Row],[MonthlyIncome]]&lt;3000,"Low",IF(Table1[[#This Row],[MonthlyIncome]]&lt;7000,"Medium","High"))</f>
        <v>High</v>
      </c>
      <c r="AL134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45" spans="1:38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tr">
        <f>IF(Table1[[#This Row],[Age]]&lt;=25,"Young",IF(Table1[[#This Row],[Age]]&lt;=35,"Early Career",IF(Table1[[#This Row],[Age]]&lt;=45,"Mid Career","Senior")))</f>
        <v>Early Career</v>
      </c>
      <c r="AK1345" t="str">
        <f>IF(Table1[[#This Row],[MonthlyIncome]]&lt;3000,"Low",IF(Table1[[#This Row],[MonthlyIncome]]&lt;7000,"Medium","High"))</f>
        <v>Low</v>
      </c>
      <c r="AL134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46" spans="1:38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tr">
        <f>IF(Table1[[#This Row],[Age]]&lt;=25,"Young",IF(Table1[[#This Row],[Age]]&lt;=35,"Early Career",IF(Table1[[#This Row],[Age]]&lt;=45,"Mid Career","Senior")))</f>
        <v>Mid Career</v>
      </c>
      <c r="AK1346" t="str">
        <f>IF(Table1[[#This Row],[MonthlyIncome]]&lt;3000,"Low",IF(Table1[[#This Row],[MonthlyIncome]]&lt;7000,"Medium","High"))</f>
        <v>Medium</v>
      </c>
      <c r="AL134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47" spans="1:38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tr">
        <f>IF(Table1[[#This Row],[Age]]&lt;=25,"Young",IF(Table1[[#This Row],[Age]]&lt;=35,"Early Career",IF(Table1[[#This Row],[Age]]&lt;=45,"Mid Career","Senior")))</f>
        <v>Early Career</v>
      </c>
      <c r="AK1347" t="str">
        <f>IF(Table1[[#This Row],[MonthlyIncome]]&lt;3000,"Low",IF(Table1[[#This Row],[MonthlyIncome]]&lt;7000,"Medium","High"))</f>
        <v>Medium</v>
      </c>
      <c r="AL134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48" spans="1:38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tr">
        <f>IF(Table1[[#This Row],[Age]]&lt;=25,"Young",IF(Table1[[#This Row],[Age]]&lt;=35,"Early Career",IF(Table1[[#This Row],[Age]]&lt;=45,"Mid Career","Senior")))</f>
        <v>Mid Career</v>
      </c>
      <c r="AK1348" t="str">
        <f>IF(Table1[[#This Row],[MonthlyIncome]]&lt;3000,"Low",IF(Table1[[#This Row],[MonthlyIncome]]&lt;7000,"Medium","High"))</f>
        <v>Medium</v>
      </c>
      <c r="AL134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349" spans="1:38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tr">
        <f>IF(Table1[[#This Row],[Age]]&lt;=25,"Young",IF(Table1[[#This Row],[Age]]&lt;=35,"Early Career",IF(Table1[[#This Row],[Age]]&lt;=45,"Mid Career","Senior")))</f>
        <v>Mid Career</v>
      </c>
      <c r="AK1349" t="str">
        <f>IF(Table1[[#This Row],[MonthlyIncome]]&lt;3000,"Low",IF(Table1[[#This Row],[MonthlyIncome]]&lt;7000,"Medium","High"))</f>
        <v>Medium</v>
      </c>
      <c r="AL1349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350" spans="1:38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tr">
        <f>IF(Table1[[#This Row],[Age]]&lt;=25,"Young",IF(Table1[[#This Row],[Age]]&lt;=35,"Early Career",IF(Table1[[#This Row],[Age]]&lt;=45,"Mid Career","Senior")))</f>
        <v>Mid Career</v>
      </c>
      <c r="AK1350" t="str">
        <f>IF(Table1[[#This Row],[MonthlyIncome]]&lt;3000,"Low",IF(Table1[[#This Row],[MonthlyIncome]]&lt;7000,"Medium","High"))</f>
        <v>High</v>
      </c>
      <c r="AL1350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351" spans="1:38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tr">
        <f>IF(Table1[[#This Row],[Age]]&lt;=25,"Young",IF(Table1[[#This Row],[Age]]&lt;=35,"Early Career",IF(Table1[[#This Row],[Age]]&lt;=45,"Mid Career","Senior")))</f>
        <v>Early Career</v>
      </c>
      <c r="AK1351" t="str">
        <f>IF(Table1[[#This Row],[MonthlyIncome]]&lt;3000,"Low",IF(Table1[[#This Row],[MonthlyIncome]]&lt;7000,"Medium","High"))</f>
        <v>Low</v>
      </c>
      <c r="AL135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352" spans="1:38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tr">
        <f>IF(Table1[[#This Row],[Age]]&lt;=25,"Young",IF(Table1[[#This Row],[Age]]&lt;=35,"Early Career",IF(Table1[[#This Row],[Age]]&lt;=45,"Mid Career","Senior")))</f>
        <v>Early Career</v>
      </c>
      <c r="AK1352" t="str">
        <f>IF(Table1[[#This Row],[MonthlyIncome]]&lt;3000,"Low",IF(Table1[[#This Row],[MonthlyIncome]]&lt;7000,"Medium","High"))</f>
        <v>Medium</v>
      </c>
      <c r="AL135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353" spans="1:38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tr">
        <f>IF(Table1[[#This Row],[Age]]&lt;=25,"Young",IF(Table1[[#This Row],[Age]]&lt;=35,"Early Career",IF(Table1[[#This Row],[Age]]&lt;=45,"Mid Career","Senior")))</f>
        <v>Senior</v>
      </c>
      <c r="AK1353" t="str">
        <f>IF(Table1[[#This Row],[MonthlyIncome]]&lt;3000,"Low",IF(Table1[[#This Row],[MonthlyIncome]]&lt;7000,"Medium","High"))</f>
        <v>High</v>
      </c>
      <c r="AL1353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354" spans="1:38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tr">
        <f>IF(Table1[[#This Row],[Age]]&lt;=25,"Young",IF(Table1[[#This Row],[Age]]&lt;=35,"Early Career",IF(Table1[[#This Row],[Age]]&lt;=45,"Mid Career","Senior")))</f>
        <v>Mid Career</v>
      </c>
      <c r="AK1354" t="str">
        <f>IF(Table1[[#This Row],[MonthlyIncome]]&lt;3000,"Low",IF(Table1[[#This Row],[MonthlyIncome]]&lt;7000,"Medium","High"))</f>
        <v>Medium</v>
      </c>
      <c r="AL135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355" spans="1:38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tr">
        <f>IF(Table1[[#This Row],[Age]]&lt;=25,"Young",IF(Table1[[#This Row],[Age]]&lt;=35,"Early Career",IF(Table1[[#This Row],[Age]]&lt;=45,"Mid Career","Senior")))</f>
        <v>Early Career</v>
      </c>
      <c r="AK1355" t="str">
        <f>IF(Table1[[#This Row],[MonthlyIncome]]&lt;3000,"Low",IF(Table1[[#This Row],[MonthlyIncome]]&lt;7000,"Medium","High"))</f>
        <v>Low</v>
      </c>
      <c r="AL135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56" spans="1:38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tr">
        <f>IF(Table1[[#This Row],[Age]]&lt;=25,"Young",IF(Table1[[#This Row],[Age]]&lt;=35,"Early Career",IF(Table1[[#This Row],[Age]]&lt;=45,"Mid Career","Senior")))</f>
        <v>Senior</v>
      </c>
      <c r="AK1356" t="str">
        <f>IF(Table1[[#This Row],[MonthlyIncome]]&lt;3000,"Low",IF(Table1[[#This Row],[MonthlyIncome]]&lt;7000,"Medium","High"))</f>
        <v>Low</v>
      </c>
      <c r="AL135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57" spans="1:38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tr">
        <f>IF(Table1[[#This Row],[Age]]&lt;=25,"Young",IF(Table1[[#This Row],[Age]]&lt;=35,"Early Career",IF(Table1[[#This Row],[Age]]&lt;=45,"Mid Career","Senior")))</f>
        <v>Mid Career</v>
      </c>
      <c r="AK1357" t="str">
        <f>IF(Table1[[#This Row],[MonthlyIncome]]&lt;3000,"Low",IF(Table1[[#This Row],[MonthlyIncome]]&lt;7000,"Medium","High"))</f>
        <v>Medium</v>
      </c>
      <c r="AL135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58" spans="1:38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tr">
        <f>IF(Table1[[#This Row],[Age]]&lt;=25,"Young",IF(Table1[[#This Row],[Age]]&lt;=35,"Early Career",IF(Table1[[#This Row],[Age]]&lt;=45,"Mid Career","Senior")))</f>
        <v>Mid Career</v>
      </c>
      <c r="AK1358" t="str">
        <f>IF(Table1[[#This Row],[MonthlyIncome]]&lt;3000,"Low",IF(Table1[[#This Row],[MonthlyIncome]]&lt;7000,"Medium","High"))</f>
        <v>Medium</v>
      </c>
      <c r="AL135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59" spans="1:38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tr">
        <f>IF(Table1[[#This Row],[Age]]&lt;=25,"Young",IF(Table1[[#This Row],[Age]]&lt;=35,"Early Career",IF(Table1[[#This Row],[Age]]&lt;=45,"Mid Career","Senior")))</f>
        <v>Mid Career</v>
      </c>
      <c r="AK1359" t="str">
        <f>IF(Table1[[#This Row],[MonthlyIncome]]&lt;3000,"Low",IF(Table1[[#This Row],[MonthlyIncome]]&lt;7000,"Medium","High"))</f>
        <v>High</v>
      </c>
      <c r="AL1359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360" spans="1:38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tr">
        <f>IF(Table1[[#This Row],[Age]]&lt;=25,"Young",IF(Table1[[#This Row],[Age]]&lt;=35,"Early Career",IF(Table1[[#This Row],[Age]]&lt;=45,"Mid Career","Senior")))</f>
        <v>Early Career</v>
      </c>
      <c r="AK1360" t="str">
        <f>IF(Table1[[#This Row],[MonthlyIncome]]&lt;3000,"Low",IF(Table1[[#This Row],[MonthlyIncome]]&lt;7000,"Medium","High"))</f>
        <v>Medium</v>
      </c>
      <c r="AL136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61" spans="1:38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tr">
        <f>IF(Table1[[#This Row],[Age]]&lt;=25,"Young",IF(Table1[[#This Row],[Age]]&lt;=35,"Early Career",IF(Table1[[#This Row],[Age]]&lt;=45,"Mid Career","Senior")))</f>
        <v>Early Career</v>
      </c>
      <c r="AK1361" t="str">
        <f>IF(Table1[[#This Row],[MonthlyIncome]]&lt;3000,"Low",IF(Table1[[#This Row],[MonthlyIncome]]&lt;7000,"Medium","High"))</f>
        <v>High</v>
      </c>
      <c r="AL136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62" spans="1:38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tr">
        <f>IF(Table1[[#This Row],[Age]]&lt;=25,"Young",IF(Table1[[#This Row],[Age]]&lt;=35,"Early Career",IF(Table1[[#This Row],[Age]]&lt;=45,"Mid Career","Senior")))</f>
        <v>Early Career</v>
      </c>
      <c r="AK1362" t="str">
        <f>IF(Table1[[#This Row],[MonthlyIncome]]&lt;3000,"Low",IF(Table1[[#This Row],[MonthlyIncome]]&lt;7000,"Medium","High"))</f>
        <v>Medium</v>
      </c>
      <c r="AL1362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363" spans="1:38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tr">
        <f>IF(Table1[[#This Row],[Age]]&lt;=25,"Young",IF(Table1[[#This Row],[Age]]&lt;=35,"Early Career",IF(Table1[[#This Row],[Age]]&lt;=45,"Mid Career","Senior")))</f>
        <v>Early Career</v>
      </c>
      <c r="AK1363" t="str">
        <f>IF(Table1[[#This Row],[MonthlyIncome]]&lt;3000,"Low",IF(Table1[[#This Row],[MonthlyIncome]]&lt;7000,"Medium","High"))</f>
        <v>Low</v>
      </c>
      <c r="AL136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364" spans="1:38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tr">
        <f>IF(Table1[[#This Row],[Age]]&lt;=25,"Young",IF(Table1[[#This Row],[Age]]&lt;=35,"Early Career",IF(Table1[[#This Row],[Age]]&lt;=45,"Mid Career","Senior")))</f>
        <v>Mid Career</v>
      </c>
      <c r="AK1364" t="str">
        <f>IF(Table1[[#This Row],[MonthlyIncome]]&lt;3000,"Low",IF(Table1[[#This Row],[MonthlyIncome]]&lt;7000,"Medium","High"))</f>
        <v>Medium</v>
      </c>
      <c r="AL136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65" spans="1:38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tr">
        <f>IF(Table1[[#This Row],[Age]]&lt;=25,"Young",IF(Table1[[#This Row],[Age]]&lt;=35,"Early Career",IF(Table1[[#This Row],[Age]]&lt;=45,"Mid Career","Senior")))</f>
        <v>Early Career</v>
      </c>
      <c r="AK1365" t="str">
        <f>IF(Table1[[#This Row],[MonthlyIncome]]&lt;3000,"Low",IF(Table1[[#This Row],[MonthlyIncome]]&lt;7000,"Medium","High"))</f>
        <v>Medium</v>
      </c>
      <c r="AL136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366" spans="1:38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tr">
        <f>IF(Table1[[#This Row],[Age]]&lt;=25,"Young",IF(Table1[[#This Row],[Age]]&lt;=35,"Early Career",IF(Table1[[#This Row],[Age]]&lt;=45,"Mid Career","Senior")))</f>
        <v>Early Career</v>
      </c>
      <c r="AK1366" t="str">
        <f>IF(Table1[[#This Row],[MonthlyIncome]]&lt;3000,"Low",IF(Table1[[#This Row],[MonthlyIncome]]&lt;7000,"Medium","High"))</f>
        <v>Medium</v>
      </c>
      <c r="AL136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367" spans="1:38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tr">
        <f>IF(Table1[[#This Row],[Age]]&lt;=25,"Young",IF(Table1[[#This Row],[Age]]&lt;=35,"Early Career",IF(Table1[[#This Row],[Age]]&lt;=45,"Mid Career","Senior")))</f>
        <v>Early Career</v>
      </c>
      <c r="AK1367" t="str">
        <f>IF(Table1[[#This Row],[MonthlyIncome]]&lt;3000,"Low",IF(Table1[[#This Row],[MonthlyIncome]]&lt;7000,"Medium","High"))</f>
        <v>Low</v>
      </c>
      <c r="AL136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368" spans="1:38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tr">
        <f>IF(Table1[[#This Row],[Age]]&lt;=25,"Young",IF(Table1[[#This Row],[Age]]&lt;=35,"Early Career",IF(Table1[[#This Row],[Age]]&lt;=45,"Mid Career","Senior")))</f>
        <v>Mid Career</v>
      </c>
      <c r="AK1368" t="str">
        <f>IF(Table1[[#This Row],[MonthlyIncome]]&lt;3000,"Low",IF(Table1[[#This Row],[MonthlyIncome]]&lt;7000,"Medium","High"))</f>
        <v>Medium</v>
      </c>
      <c r="AL136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69" spans="1:38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tr">
        <f>IF(Table1[[#This Row],[Age]]&lt;=25,"Young",IF(Table1[[#This Row],[Age]]&lt;=35,"Early Career",IF(Table1[[#This Row],[Age]]&lt;=45,"Mid Career","Senior")))</f>
        <v>Early Career</v>
      </c>
      <c r="AK1369" t="str">
        <f>IF(Table1[[#This Row],[MonthlyIncome]]&lt;3000,"Low",IF(Table1[[#This Row],[MonthlyIncome]]&lt;7000,"Medium","High"))</f>
        <v>Low</v>
      </c>
      <c r="AL136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70" spans="1:38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tr">
        <f>IF(Table1[[#This Row],[Age]]&lt;=25,"Young",IF(Table1[[#This Row],[Age]]&lt;=35,"Early Career",IF(Table1[[#This Row],[Age]]&lt;=45,"Mid Career","Senior")))</f>
        <v>Early Career</v>
      </c>
      <c r="AK1370" t="str">
        <f>IF(Table1[[#This Row],[MonthlyIncome]]&lt;3000,"Low",IF(Table1[[#This Row],[MonthlyIncome]]&lt;7000,"Medium","High"))</f>
        <v>Medium</v>
      </c>
      <c r="AL1370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371" spans="1:38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tr">
        <f>IF(Table1[[#This Row],[Age]]&lt;=25,"Young",IF(Table1[[#This Row],[Age]]&lt;=35,"Early Career",IF(Table1[[#This Row],[Age]]&lt;=45,"Mid Career","Senior")))</f>
        <v>Early Career</v>
      </c>
      <c r="AK1371" t="str">
        <f>IF(Table1[[#This Row],[MonthlyIncome]]&lt;3000,"Low",IF(Table1[[#This Row],[MonthlyIncome]]&lt;7000,"Medium","High"))</f>
        <v>High</v>
      </c>
      <c r="AL137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372" spans="1:38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tr">
        <f>IF(Table1[[#This Row],[Age]]&lt;=25,"Young",IF(Table1[[#This Row],[Age]]&lt;=35,"Early Career",IF(Table1[[#This Row],[Age]]&lt;=45,"Mid Career","Senior")))</f>
        <v>Senior</v>
      </c>
      <c r="AK1372" t="str">
        <f>IF(Table1[[#This Row],[MonthlyIncome]]&lt;3000,"Low",IF(Table1[[#This Row],[MonthlyIncome]]&lt;7000,"Medium","High"))</f>
        <v>Medium</v>
      </c>
      <c r="AL137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373" spans="1:38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tr">
        <f>IF(Table1[[#This Row],[Age]]&lt;=25,"Young",IF(Table1[[#This Row],[Age]]&lt;=35,"Early Career",IF(Table1[[#This Row],[Age]]&lt;=45,"Mid Career","Senior")))</f>
        <v>Senior</v>
      </c>
      <c r="AK1373" t="str">
        <f>IF(Table1[[#This Row],[MonthlyIncome]]&lt;3000,"Low",IF(Table1[[#This Row],[MonthlyIncome]]&lt;7000,"Medium","High"))</f>
        <v>Medium</v>
      </c>
      <c r="AL137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374" spans="1:38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tr">
        <f>IF(Table1[[#This Row],[Age]]&lt;=25,"Young",IF(Table1[[#This Row],[Age]]&lt;=35,"Early Career",IF(Table1[[#This Row],[Age]]&lt;=45,"Mid Career","Senior")))</f>
        <v>Mid Career</v>
      </c>
      <c r="AK1374" t="str">
        <f>IF(Table1[[#This Row],[MonthlyIncome]]&lt;3000,"Low",IF(Table1[[#This Row],[MonthlyIncome]]&lt;7000,"Medium","High"))</f>
        <v>Medium</v>
      </c>
      <c r="AL137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375" spans="1:38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tr">
        <f>IF(Table1[[#This Row],[Age]]&lt;=25,"Young",IF(Table1[[#This Row],[Age]]&lt;=35,"Early Career",IF(Table1[[#This Row],[Age]]&lt;=45,"Mid Career","Senior")))</f>
        <v>Mid Career</v>
      </c>
      <c r="AK1375" t="str">
        <f>IF(Table1[[#This Row],[MonthlyIncome]]&lt;3000,"Low",IF(Table1[[#This Row],[MonthlyIncome]]&lt;7000,"Medium","High"))</f>
        <v>Low</v>
      </c>
      <c r="AL1375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376" spans="1:38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tr">
        <f>IF(Table1[[#This Row],[Age]]&lt;=25,"Young",IF(Table1[[#This Row],[Age]]&lt;=35,"Early Career",IF(Table1[[#This Row],[Age]]&lt;=45,"Mid Career","Senior")))</f>
        <v>Senior</v>
      </c>
      <c r="AK1376" t="str">
        <f>IF(Table1[[#This Row],[MonthlyIncome]]&lt;3000,"Low",IF(Table1[[#This Row],[MonthlyIncome]]&lt;7000,"Medium","High"))</f>
        <v>High</v>
      </c>
      <c r="AL1376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377" spans="1:38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tr">
        <f>IF(Table1[[#This Row],[Age]]&lt;=25,"Young",IF(Table1[[#This Row],[Age]]&lt;=35,"Early Career",IF(Table1[[#This Row],[Age]]&lt;=45,"Mid Career","Senior")))</f>
        <v>Early Career</v>
      </c>
      <c r="AK1377" t="str">
        <f>IF(Table1[[#This Row],[MonthlyIncome]]&lt;3000,"Low",IF(Table1[[#This Row],[MonthlyIncome]]&lt;7000,"Medium","High"))</f>
        <v>Low</v>
      </c>
      <c r="AL137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78" spans="1:38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tr">
        <f>IF(Table1[[#This Row],[Age]]&lt;=25,"Young",IF(Table1[[#This Row],[Age]]&lt;=35,"Early Career",IF(Table1[[#This Row],[Age]]&lt;=45,"Mid Career","Senior")))</f>
        <v>Mid Career</v>
      </c>
      <c r="AK1378" t="str">
        <f>IF(Table1[[#This Row],[MonthlyIncome]]&lt;3000,"Low",IF(Table1[[#This Row],[MonthlyIncome]]&lt;7000,"Medium","High"))</f>
        <v>Medium</v>
      </c>
      <c r="AL137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79" spans="1:38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tr">
        <f>IF(Table1[[#This Row],[Age]]&lt;=25,"Young",IF(Table1[[#This Row],[Age]]&lt;=35,"Early Career",IF(Table1[[#This Row],[Age]]&lt;=45,"Mid Career","Senior")))</f>
        <v>Senior</v>
      </c>
      <c r="AK1379" t="str">
        <f>IF(Table1[[#This Row],[MonthlyIncome]]&lt;3000,"Low",IF(Table1[[#This Row],[MonthlyIncome]]&lt;7000,"Medium","High"))</f>
        <v>High</v>
      </c>
      <c r="AL137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80" spans="1:38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tr">
        <f>IF(Table1[[#This Row],[Age]]&lt;=25,"Young",IF(Table1[[#This Row],[Age]]&lt;=35,"Early Career",IF(Table1[[#This Row],[Age]]&lt;=45,"Mid Career","Senior")))</f>
        <v>Mid Career</v>
      </c>
      <c r="AK1380" t="str">
        <f>IF(Table1[[#This Row],[MonthlyIncome]]&lt;3000,"Low",IF(Table1[[#This Row],[MonthlyIncome]]&lt;7000,"Medium","High"))</f>
        <v>Medium</v>
      </c>
      <c r="AL138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381" spans="1:38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tr">
        <f>IF(Table1[[#This Row],[Age]]&lt;=25,"Young",IF(Table1[[#This Row],[Age]]&lt;=35,"Early Career",IF(Table1[[#This Row],[Age]]&lt;=45,"Mid Career","Senior")))</f>
        <v>Early Career</v>
      </c>
      <c r="AK1381" t="str">
        <f>IF(Table1[[#This Row],[MonthlyIncome]]&lt;3000,"Low",IF(Table1[[#This Row],[MonthlyIncome]]&lt;7000,"Medium","High"))</f>
        <v>Low</v>
      </c>
      <c r="AL1381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382" spans="1:38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tr">
        <f>IF(Table1[[#This Row],[Age]]&lt;=25,"Young",IF(Table1[[#This Row],[Age]]&lt;=35,"Early Career",IF(Table1[[#This Row],[Age]]&lt;=45,"Mid Career","Senior")))</f>
        <v>Early Career</v>
      </c>
      <c r="AK1382" t="str">
        <f>IF(Table1[[#This Row],[MonthlyIncome]]&lt;3000,"Low",IF(Table1[[#This Row],[MonthlyIncome]]&lt;7000,"Medium","High"))</f>
        <v>Medium</v>
      </c>
      <c r="AL138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83" spans="1:38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tr">
        <f>IF(Table1[[#This Row],[Age]]&lt;=25,"Young",IF(Table1[[#This Row],[Age]]&lt;=35,"Early Career",IF(Table1[[#This Row],[Age]]&lt;=45,"Mid Career","Senior")))</f>
        <v>Early Career</v>
      </c>
      <c r="AK1383" t="str">
        <f>IF(Table1[[#This Row],[MonthlyIncome]]&lt;3000,"Low",IF(Table1[[#This Row],[MonthlyIncome]]&lt;7000,"Medium","High"))</f>
        <v>Low</v>
      </c>
      <c r="AL1383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84" spans="1:38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tr">
        <f>IF(Table1[[#This Row],[Age]]&lt;=25,"Young",IF(Table1[[#This Row],[Age]]&lt;=35,"Early Career",IF(Table1[[#This Row],[Age]]&lt;=45,"Mid Career","Senior")))</f>
        <v>Early Career</v>
      </c>
      <c r="AK1384" t="str">
        <f>IF(Table1[[#This Row],[MonthlyIncome]]&lt;3000,"Low",IF(Table1[[#This Row],[MonthlyIncome]]&lt;7000,"Medium","High"))</f>
        <v>Medium</v>
      </c>
      <c r="AL1384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85" spans="1:38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tr">
        <f>IF(Table1[[#This Row],[Age]]&lt;=25,"Young",IF(Table1[[#This Row],[Age]]&lt;=35,"Early Career",IF(Table1[[#This Row],[Age]]&lt;=45,"Mid Career","Senior")))</f>
        <v>Mid Career</v>
      </c>
      <c r="AK1385" t="str">
        <f>IF(Table1[[#This Row],[MonthlyIncome]]&lt;3000,"Low",IF(Table1[[#This Row],[MonthlyIncome]]&lt;7000,"Medium","High"))</f>
        <v>Low</v>
      </c>
      <c r="AL138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86" spans="1:38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tr">
        <f>IF(Table1[[#This Row],[Age]]&lt;=25,"Young",IF(Table1[[#This Row],[Age]]&lt;=35,"Early Career",IF(Table1[[#This Row],[Age]]&lt;=45,"Mid Career","Senior")))</f>
        <v>Early Career</v>
      </c>
      <c r="AK1386" t="str">
        <f>IF(Table1[[#This Row],[MonthlyIncome]]&lt;3000,"Low",IF(Table1[[#This Row],[MonthlyIncome]]&lt;7000,"Medium","High"))</f>
        <v>High</v>
      </c>
      <c r="AL1386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387" spans="1:38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tr">
        <f>IF(Table1[[#This Row],[Age]]&lt;=25,"Young",IF(Table1[[#This Row],[Age]]&lt;=35,"Early Career",IF(Table1[[#This Row],[Age]]&lt;=45,"Mid Career","Senior")))</f>
        <v>Early Career</v>
      </c>
      <c r="AK1387" t="str">
        <f>IF(Table1[[#This Row],[MonthlyIncome]]&lt;3000,"Low",IF(Table1[[#This Row],[MonthlyIncome]]&lt;7000,"Medium","High"))</f>
        <v>High</v>
      </c>
      <c r="AL138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388" spans="1:38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tr">
        <f>IF(Table1[[#This Row],[Age]]&lt;=25,"Young",IF(Table1[[#This Row],[Age]]&lt;=35,"Early Career",IF(Table1[[#This Row],[Age]]&lt;=45,"Mid Career","Senior")))</f>
        <v>Early Career</v>
      </c>
      <c r="AK1388" t="str">
        <f>IF(Table1[[#This Row],[MonthlyIncome]]&lt;3000,"Low",IF(Table1[[#This Row],[MonthlyIncome]]&lt;7000,"Medium","High"))</f>
        <v>Low</v>
      </c>
      <c r="AL138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389" spans="1:38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tr">
        <f>IF(Table1[[#This Row],[Age]]&lt;=25,"Young",IF(Table1[[#This Row],[Age]]&lt;=35,"Early Career",IF(Table1[[#This Row],[Age]]&lt;=45,"Mid Career","Senior")))</f>
        <v>Early Career</v>
      </c>
      <c r="AK1389" t="str">
        <f>IF(Table1[[#This Row],[MonthlyIncome]]&lt;3000,"Low",IF(Table1[[#This Row],[MonthlyIncome]]&lt;7000,"Medium","High"))</f>
        <v>Medium</v>
      </c>
      <c r="AL138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90" spans="1:38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tr">
        <f>IF(Table1[[#This Row],[Age]]&lt;=25,"Young",IF(Table1[[#This Row],[Age]]&lt;=35,"Early Career",IF(Table1[[#This Row],[Age]]&lt;=45,"Mid Career","Senior")))</f>
        <v>Early Career</v>
      </c>
      <c r="AK1390" t="str">
        <f>IF(Table1[[#This Row],[MonthlyIncome]]&lt;3000,"Low",IF(Table1[[#This Row],[MonthlyIncome]]&lt;7000,"Medium","High"))</f>
        <v>Medium</v>
      </c>
      <c r="AL139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91" spans="1:38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tr">
        <f>IF(Table1[[#This Row],[Age]]&lt;=25,"Young",IF(Table1[[#This Row],[Age]]&lt;=35,"Early Career",IF(Table1[[#This Row],[Age]]&lt;=45,"Mid Career","Senior")))</f>
        <v>Early Career</v>
      </c>
      <c r="AK1391" t="str">
        <f>IF(Table1[[#This Row],[MonthlyIncome]]&lt;3000,"Low",IF(Table1[[#This Row],[MonthlyIncome]]&lt;7000,"Medium","High"))</f>
        <v>Medium</v>
      </c>
      <c r="AL139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392" spans="1:38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tr">
        <f>IF(Table1[[#This Row],[Age]]&lt;=25,"Young",IF(Table1[[#This Row],[Age]]&lt;=35,"Early Career",IF(Table1[[#This Row],[Age]]&lt;=45,"Mid Career","Senior")))</f>
        <v>Early Career</v>
      </c>
      <c r="AK1392" t="str">
        <f>IF(Table1[[#This Row],[MonthlyIncome]]&lt;3000,"Low",IF(Table1[[#This Row],[MonthlyIncome]]&lt;7000,"Medium","High"))</f>
        <v>Low</v>
      </c>
      <c r="AL139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393" spans="1:38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tr">
        <f>IF(Table1[[#This Row],[Age]]&lt;=25,"Young",IF(Table1[[#This Row],[Age]]&lt;=35,"Early Career",IF(Table1[[#This Row],[Age]]&lt;=45,"Mid Career","Senior")))</f>
        <v>Mid Career</v>
      </c>
      <c r="AK1393" t="str">
        <f>IF(Table1[[#This Row],[MonthlyIncome]]&lt;3000,"Low",IF(Table1[[#This Row],[MonthlyIncome]]&lt;7000,"Medium","High"))</f>
        <v>Low</v>
      </c>
      <c r="AL139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394" spans="1:38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tr">
        <f>IF(Table1[[#This Row],[Age]]&lt;=25,"Young",IF(Table1[[#This Row],[Age]]&lt;=35,"Early Career",IF(Table1[[#This Row],[Age]]&lt;=45,"Mid Career","Senior")))</f>
        <v>Early Career</v>
      </c>
      <c r="AK1394" t="str">
        <f>IF(Table1[[#This Row],[MonthlyIncome]]&lt;3000,"Low",IF(Table1[[#This Row],[MonthlyIncome]]&lt;7000,"Medium","High"))</f>
        <v>Medium</v>
      </c>
      <c r="AL139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395" spans="1:38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tr">
        <f>IF(Table1[[#This Row],[Age]]&lt;=25,"Young",IF(Table1[[#This Row],[Age]]&lt;=35,"Early Career",IF(Table1[[#This Row],[Age]]&lt;=45,"Mid Career","Senior")))</f>
        <v>Early Career</v>
      </c>
      <c r="AK1395" t="str">
        <f>IF(Table1[[#This Row],[MonthlyIncome]]&lt;3000,"Low",IF(Table1[[#This Row],[MonthlyIncome]]&lt;7000,"Medium","High"))</f>
        <v>Medium</v>
      </c>
      <c r="AL139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396" spans="1:38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tr">
        <f>IF(Table1[[#This Row],[Age]]&lt;=25,"Young",IF(Table1[[#This Row],[Age]]&lt;=35,"Early Career",IF(Table1[[#This Row],[Age]]&lt;=45,"Mid Career","Senior")))</f>
        <v>Early Career</v>
      </c>
      <c r="AK1396" t="str">
        <f>IF(Table1[[#This Row],[MonthlyIncome]]&lt;3000,"Low",IF(Table1[[#This Row],[MonthlyIncome]]&lt;7000,"Medium","High"))</f>
        <v>High</v>
      </c>
      <c r="AL1396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397" spans="1:38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tr">
        <f>IF(Table1[[#This Row],[Age]]&lt;=25,"Young",IF(Table1[[#This Row],[Age]]&lt;=35,"Early Career",IF(Table1[[#This Row],[Age]]&lt;=45,"Mid Career","Senior")))</f>
        <v>Early Career</v>
      </c>
      <c r="AK1397" t="str">
        <f>IF(Table1[[#This Row],[MonthlyIncome]]&lt;3000,"Low",IF(Table1[[#This Row],[MonthlyIncome]]&lt;7000,"Medium","High"))</f>
        <v>Medium</v>
      </c>
      <c r="AL139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398" spans="1:38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tr">
        <f>IF(Table1[[#This Row],[Age]]&lt;=25,"Young",IF(Table1[[#This Row],[Age]]&lt;=35,"Early Career",IF(Table1[[#This Row],[Age]]&lt;=45,"Mid Career","Senior")))</f>
        <v>Senior</v>
      </c>
      <c r="AK1398" t="str">
        <f>IF(Table1[[#This Row],[MonthlyIncome]]&lt;3000,"Low",IF(Table1[[#This Row],[MonthlyIncome]]&lt;7000,"Medium","High"))</f>
        <v>High</v>
      </c>
      <c r="AL139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399" spans="1:38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tr">
        <f>IF(Table1[[#This Row],[Age]]&lt;=25,"Young",IF(Table1[[#This Row],[Age]]&lt;=35,"Early Career",IF(Table1[[#This Row],[Age]]&lt;=45,"Mid Career","Senior")))</f>
        <v>Senior</v>
      </c>
      <c r="AK1399" t="str">
        <f>IF(Table1[[#This Row],[MonthlyIncome]]&lt;3000,"Low",IF(Table1[[#This Row],[MonthlyIncome]]&lt;7000,"Medium","High"))</f>
        <v>Low</v>
      </c>
      <c r="AL139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400" spans="1:38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tr">
        <f>IF(Table1[[#This Row],[Age]]&lt;=25,"Young",IF(Table1[[#This Row],[Age]]&lt;=35,"Early Career",IF(Table1[[#This Row],[Age]]&lt;=45,"Mid Career","Senior")))</f>
        <v>Early Career</v>
      </c>
      <c r="AK1400" t="str">
        <f>IF(Table1[[#This Row],[MonthlyIncome]]&lt;3000,"Low",IF(Table1[[#This Row],[MonthlyIncome]]&lt;7000,"Medium","High"))</f>
        <v>Medium</v>
      </c>
      <c r="AL140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401" spans="1:38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tr">
        <f>IF(Table1[[#This Row],[Age]]&lt;=25,"Young",IF(Table1[[#This Row],[Age]]&lt;=35,"Early Career",IF(Table1[[#This Row],[Age]]&lt;=45,"Mid Career","Senior")))</f>
        <v>Mid Career</v>
      </c>
      <c r="AK1401" t="str">
        <f>IF(Table1[[#This Row],[MonthlyIncome]]&lt;3000,"Low",IF(Table1[[#This Row],[MonthlyIncome]]&lt;7000,"Medium","High"))</f>
        <v>High</v>
      </c>
      <c r="AL140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402" spans="1:38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tr">
        <f>IF(Table1[[#This Row],[Age]]&lt;=25,"Young",IF(Table1[[#This Row],[Age]]&lt;=35,"Early Career",IF(Table1[[#This Row],[Age]]&lt;=45,"Mid Career","Senior")))</f>
        <v>Mid Career</v>
      </c>
      <c r="AK1402" t="str">
        <f>IF(Table1[[#This Row],[MonthlyIncome]]&lt;3000,"Low",IF(Table1[[#This Row],[MonthlyIncome]]&lt;7000,"Medium","High"))</f>
        <v>Low</v>
      </c>
      <c r="AL140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403" spans="1:38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tr">
        <f>IF(Table1[[#This Row],[Age]]&lt;=25,"Young",IF(Table1[[#This Row],[Age]]&lt;=35,"Early Career",IF(Table1[[#This Row],[Age]]&lt;=45,"Mid Career","Senior")))</f>
        <v>Senior</v>
      </c>
      <c r="AK1403" t="str">
        <f>IF(Table1[[#This Row],[MonthlyIncome]]&lt;3000,"Low",IF(Table1[[#This Row],[MonthlyIncome]]&lt;7000,"Medium","High"))</f>
        <v>High</v>
      </c>
      <c r="AL140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404" spans="1:38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tr">
        <f>IF(Table1[[#This Row],[Age]]&lt;=25,"Young",IF(Table1[[#This Row],[Age]]&lt;=35,"Early Career",IF(Table1[[#This Row],[Age]]&lt;=45,"Mid Career","Senior")))</f>
        <v>Early Career</v>
      </c>
      <c r="AK1404" t="str">
        <f>IF(Table1[[#This Row],[MonthlyIncome]]&lt;3000,"Low",IF(Table1[[#This Row],[MonthlyIncome]]&lt;7000,"Medium","High"))</f>
        <v>Low</v>
      </c>
      <c r="AL140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405" spans="1:38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tr">
        <f>IF(Table1[[#This Row],[Age]]&lt;=25,"Young",IF(Table1[[#This Row],[Age]]&lt;=35,"Early Career",IF(Table1[[#This Row],[Age]]&lt;=45,"Mid Career","Senior")))</f>
        <v>Mid Career</v>
      </c>
      <c r="AK1405" t="str">
        <f>IF(Table1[[#This Row],[MonthlyIncome]]&lt;3000,"Low",IF(Table1[[#This Row],[MonthlyIncome]]&lt;7000,"Medium","High"))</f>
        <v>High</v>
      </c>
      <c r="AL1405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406" spans="1:38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tr">
        <f>IF(Table1[[#This Row],[Age]]&lt;=25,"Young",IF(Table1[[#This Row],[Age]]&lt;=35,"Early Career",IF(Table1[[#This Row],[Age]]&lt;=45,"Mid Career","Senior")))</f>
        <v>Mid Career</v>
      </c>
      <c r="AK1406" t="str">
        <f>IF(Table1[[#This Row],[MonthlyIncome]]&lt;3000,"Low",IF(Table1[[#This Row],[MonthlyIncome]]&lt;7000,"Medium","High"))</f>
        <v>Medium</v>
      </c>
      <c r="AL1406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407" spans="1:38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tr">
        <f>IF(Table1[[#This Row],[Age]]&lt;=25,"Young",IF(Table1[[#This Row],[Age]]&lt;=35,"Early Career",IF(Table1[[#This Row],[Age]]&lt;=45,"Mid Career","Senior")))</f>
        <v>Early Career</v>
      </c>
      <c r="AK1407" t="str">
        <f>IF(Table1[[#This Row],[MonthlyIncome]]&lt;3000,"Low",IF(Table1[[#This Row],[MonthlyIncome]]&lt;7000,"Medium","High"))</f>
        <v>High</v>
      </c>
      <c r="AL1407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408" spans="1:38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tr">
        <f>IF(Table1[[#This Row],[Age]]&lt;=25,"Young",IF(Table1[[#This Row],[Age]]&lt;=35,"Early Career",IF(Table1[[#This Row],[Age]]&lt;=45,"Mid Career","Senior")))</f>
        <v>Senior</v>
      </c>
      <c r="AK1408" t="str">
        <f>IF(Table1[[#This Row],[MonthlyIncome]]&lt;3000,"Low",IF(Table1[[#This Row],[MonthlyIncome]]&lt;7000,"Medium","High"))</f>
        <v>Medium</v>
      </c>
      <c r="AL1408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409" spans="1:38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tr">
        <f>IF(Table1[[#This Row],[Age]]&lt;=25,"Young",IF(Table1[[#This Row],[Age]]&lt;=35,"Early Career",IF(Table1[[#This Row],[Age]]&lt;=45,"Mid Career","Senior")))</f>
        <v>Young</v>
      </c>
      <c r="AK1409" t="str">
        <f>IF(Table1[[#This Row],[MonthlyIncome]]&lt;3000,"Low",IF(Table1[[#This Row],[MonthlyIncome]]&lt;7000,"Medium","High"))</f>
        <v>Medium</v>
      </c>
      <c r="AL140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410" spans="1:38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tr">
        <f>IF(Table1[[#This Row],[Age]]&lt;=25,"Young",IF(Table1[[#This Row],[Age]]&lt;=35,"Early Career",IF(Table1[[#This Row],[Age]]&lt;=45,"Mid Career","Senior")))</f>
        <v>Young</v>
      </c>
      <c r="AK1410" t="str">
        <f>IF(Table1[[#This Row],[MonthlyIncome]]&lt;3000,"Low",IF(Table1[[#This Row],[MonthlyIncome]]&lt;7000,"Medium","High"))</f>
        <v>Low</v>
      </c>
      <c r="AL141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411" spans="1:38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tr">
        <f>IF(Table1[[#This Row],[Age]]&lt;=25,"Young",IF(Table1[[#This Row],[Age]]&lt;=35,"Early Career",IF(Table1[[#This Row],[Age]]&lt;=45,"Mid Career","Senior")))</f>
        <v>Mid Career</v>
      </c>
      <c r="AK1411" t="str">
        <f>IF(Table1[[#This Row],[MonthlyIncome]]&lt;3000,"Low",IF(Table1[[#This Row],[MonthlyIncome]]&lt;7000,"Medium","High"))</f>
        <v>Medium</v>
      </c>
      <c r="AL141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412" spans="1:38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tr">
        <f>IF(Table1[[#This Row],[Age]]&lt;=25,"Young",IF(Table1[[#This Row],[Age]]&lt;=35,"Early Career",IF(Table1[[#This Row],[Age]]&lt;=45,"Mid Career","Senior")))</f>
        <v>Mid Career</v>
      </c>
      <c r="AK1412" t="str">
        <f>IF(Table1[[#This Row],[MonthlyIncome]]&lt;3000,"Low",IF(Table1[[#This Row],[MonthlyIncome]]&lt;7000,"Medium","High"))</f>
        <v>Medium</v>
      </c>
      <c r="AL1412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413" spans="1:38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tr">
        <f>IF(Table1[[#This Row],[Age]]&lt;=25,"Young",IF(Table1[[#This Row],[Age]]&lt;=35,"Early Career",IF(Table1[[#This Row],[Age]]&lt;=45,"Mid Career","Senior")))</f>
        <v>Young</v>
      </c>
      <c r="AK1413" t="str">
        <f>IF(Table1[[#This Row],[MonthlyIncome]]&lt;3000,"Low",IF(Table1[[#This Row],[MonthlyIncome]]&lt;7000,"Medium","High"))</f>
        <v>Low</v>
      </c>
      <c r="AL1413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414" spans="1:38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tr">
        <f>IF(Table1[[#This Row],[Age]]&lt;=25,"Young",IF(Table1[[#This Row],[Age]]&lt;=35,"Early Career",IF(Table1[[#This Row],[Age]]&lt;=45,"Mid Career","Senior")))</f>
        <v>Early Career</v>
      </c>
      <c r="AK1414" t="str">
        <f>IF(Table1[[#This Row],[MonthlyIncome]]&lt;3000,"Low",IF(Table1[[#This Row],[MonthlyIncome]]&lt;7000,"Medium","High"))</f>
        <v>Medium</v>
      </c>
      <c r="AL1414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415" spans="1:38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tr">
        <f>IF(Table1[[#This Row],[Age]]&lt;=25,"Young",IF(Table1[[#This Row],[Age]]&lt;=35,"Early Career",IF(Table1[[#This Row],[Age]]&lt;=45,"Mid Career","Senior")))</f>
        <v>Young</v>
      </c>
      <c r="AK1415" t="str">
        <f>IF(Table1[[#This Row],[MonthlyIncome]]&lt;3000,"Low",IF(Table1[[#This Row],[MonthlyIncome]]&lt;7000,"Medium","High"))</f>
        <v>Medium</v>
      </c>
      <c r="AL1415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416" spans="1:38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tr">
        <f>IF(Table1[[#This Row],[Age]]&lt;=25,"Young",IF(Table1[[#This Row],[Age]]&lt;=35,"Early Career",IF(Table1[[#This Row],[Age]]&lt;=45,"Mid Career","Senior")))</f>
        <v>Senior</v>
      </c>
      <c r="AK1416" t="str">
        <f>IF(Table1[[#This Row],[MonthlyIncome]]&lt;3000,"Low",IF(Table1[[#This Row],[MonthlyIncome]]&lt;7000,"Medium","High"))</f>
        <v>High</v>
      </c>
      <c r="AL1416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417" spans="1:38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tr">
        <f>IF(Table1[[#This Row],[Age]]&lt;=25,"Young",IF(Table1[[#This Row],[Age]]&lt;=35,"Early Career",IF(Table1[[#This Row],[Age]]&lt;=45,"Mid Career","Senior")))</f>
        <v>Early Career</v>
      </c>
      <c r="AK1417" t="str">
        <f>IF(Table1[[#This Row],[MonthlyIncome]]&lt;3000,"Low",IF(Table1[[#This Row],[MonthlyIncome]]&lt;7000,"Medium","High"))</f>
        <v>Low</v>
      </c>
      <c r="AL141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418" spans="1:38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tr">
        <f>IF(Table1[[#This Row],[Age]]&lt;=25,"Young",IF(Table1[[#This Row],[Age]]&lt;=35,"Early Career",IF(Table1[[#This Row],[Age]]&lt;=45,"Mid Career","Senior")))</f>
        <v>Mid Career</v>
      </c>
      <c r="AK1418" t="str">
        <f>IF(Table1[[#This Row],[MonthlyIncome]]&lt;3000,"Low",IF(Table1[[#This Row],[MonthlyIncome]]&lt;7000,"Medium","High"))</f>
        <v>Medium</v>
      </c>
      <c r="AL1418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419" spans="1:38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tr">
        <f>IF(Table1[[#This Row],[Age]]&lt;=25,"Young",IF(Table1[[#This Row],[Age]]&lt;=35,"Early Career",IF(Table1[[#This Row],[Age]]&lt;=45,"Mid Career","Senior")))</f>
        <v>Early Career</v>
      </c>
      <c r="AK1419" t="str">
        <f>IF(Table1[[#This Row],[MonthlyIncome]]&lt;3000,"Low",IF(Table1[[#This Row],[MonthlyIncome]]&lt;7000,"Medium","High"))</f>
        <v>Medium</v>
      </c>
      <c r="AL141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420" spans="1:38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tr">
        <f>IF(Table1[[#This Row],[Age]]&lt;=25,"Young",IF(Table1[[#This Row],[Age]]&lt;=35,"Early Career",IF(Table1[[#This Row],[Age]]&lt;=45,"Mid Career","Senior")))</f>
        <v>Mid Career</v>
      </c>
      <c r="AK1420" t="str">
        <f>IF(Table1[[#This Row],[MonthlyIncome]]&lt;3000,"Low",IF(Table1[[#This Row],[MonthlyIncome]]&lt;7000,"Medium","High"))</f>
        <v>Medium</v>
      </c>
      <c r="AL142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421" spans="1:38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tr">
        <f>IF(Table1[[#This Row],[Age]]&lt;=25,"Young",IF(Table1[[#This Row],[Age]]&lt;=35,"Early Career",IF(Table1[[#This Row],[Age]]&lt;=45,"Mid Career","Senior")))</f>
        <v>Mid Career</v>
      </c>
      <c r="AK1421" t="str">
        <f>IF(Table1[[#This Row],[MonthlyIncome]]&lt;3000,"Low",IF(Table1[[#This Row],[MonthlyIncome]]&lt;7000,"Medium","High"))</f>
        <v>Medium</v>
      </c>
      <c r="AL142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422" spans="1:38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tr">
        <f>IF(Table1[[#This Row],[Age]]&lt;=25,"Young",IF(Table1[[#This Row],[Age]]&lt;=35,"Early Career",IF(Table1[[#This Row],[Age]]&lt;=45,"Mid Career","Senior")))</f>
        <v>Mid Career</v>
      </c>
      <c r="AK1422" t="str">
        <f>IF(Table1[[#This Row],[MonthlyIncome]]&lt;3000,"Low",IF(Table1[[#This Row],[MonthlyIncome]]&lt;7000,"Medium","High"))</f>
        <v>Low</v>
      </c>
      <c r="AL142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423" spans="1:38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tr">
        <f>IF(Table1[[#This Row],[Age]]&lt;=25,"Young",IF(Table1[[#This Row],[Age]]&lt;=35,"Early Career",IF(Table1[[#This Row],[Age]]&lt;=45,"Mid Career","Senior")))</f>
        <v>Senior</v>
      </c>
      <c r="AK1423" t="str">
        <f>IF(Table1[[#This Row],[MonthlyIncome]]&lt;3000,"Low",IF(Table1[[#This Row],[MonthlyIncome]]&lt;7000,"Medium","High"))</f>
        <v>High</v>
      </c>
      <c r="AL1423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424" spans="1:38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tr">
        <f>IF(Table1[[#This Row],[Age]]&lt;=25,"Young",IF(Table1[[#This Row],[Age]]&lt;=35,"Early Career",IF(Table1[[#This Row],[Age]]&lt;=45,"Mid Career","Senior")))</f>
        <v>Early Career</v>
      </c>
      <c r="AK1424" t="str">
        <f>IF(Table1[[#This Row],[MonthlyIncome]]&lt;3000,"Low",IF(Table1[[#This Row],[MonthlyIncome]]&lt;7000,"Medium","High"))</f>
        <v>Low</v>
      </c>
      <c r="AL142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425" spans="1:38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tr">
        <f>IF(Table1[[#This Row],[Age]]&lt;=25,"Young",IF(Table1[[#This Row],[Age]]&lt;=35,"Early Career",IF(Table1[[#This Row],[Age]]&lt;=45,"Mid Career","Senior")))</f>
        <v>Young</v>
      </c>
      <c r="AK1425" t="str">
        <f>IF(Table1[[#This Row],[MonthlyIncome]]&lt;3000,"Low",IF(Table1[[#This Row],[MonthlyIncome]]&lt;7000,"Medium","High"))</f>
        <v>Medium</v>
      </c>
      <c r="AL142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426" spans="1:38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tr">
        <f>IF(Table1[[#This Row],[Age]]&lt;=25,"Young",IF(Table1[[#This Row],[Age]]&lt;=35,"Early Career",IF(Table1[[#This Row],[Age]]&lt;=45,"Mid Career","Senior")))</f>
        <v>Early Career</v>
      </c>
      <c r="AK1426" t="str">
        <f>IF(Table1[[#This Row],[MonthlyIncome]]&lt;3000,"Low",IF(Table1[[#This Row],[MonthlyIncome]]&lt;7000,"Medium","High"))</f>
        <v>Medium</v>
      </c>
      <c r="AL142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427" spans="1:38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tr">
        <f>IF(Table1[[#This Row],[Age]]&lt;=25,"Young",IF(Table1[[#This Row],[Age]]&lt;=35,"Early Career",IF(Table1[[#This Row],[Age]]&lt;=45,"Mid Career","Senior")))</f>
        <v>Early Career</v>
      </c>
      <c r="AK1427" t="str">
        <f>IF(Table1[[#This Row],[MonthlyIncome]]&lt;3000,"Low",IF(Table1[[#This Row],[MonthlyIncome]]&lt;7000,"Medium","High"))</f>
        <v>Medium</v>
      </c>
      <c r="AL1427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428" spans="1:38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tr">
        <f>IF(Table1[[#This Row],[Age]]&lt;=25,"Young",IF(Table1[[#This Row],[Age]]&lt;=35,"Early Career",IF(Table1[[#This Row],[Age]]&lt;=45,"Mid Career","Senior")))</f>
        <v>Early Career</v>
      </c>
      <c r="AK1428" t="str">
        <f>IF(Table1[[#This Row],[MonthlyIncome]]&lt;3000,"Low",IF(Table1[[#This Row],[MonthlyIncome]]&lt;7000,"Medium","High"))</f>
        <v>Low</v>
      </c>
      <c r="AL142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429" spans="1:38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tr">
        <f>IF(Table1[[#This Row],[Age]]&lt;=25,"Young",IF(Table1[[#This Row],[Age]]&lt;=35,"Early Career",IF(Table1[[#This Row],[Age]]&lt;=45,"Mid Career","Senior")))</f>
        <v>Mid Career</v>
      </c>
      <c r="AK1429" t="str">
        <f>IF(Table1[[#This Row],[MonthlyIncome]]&lt;3000,"Low",IF(Table1[[#This Row],[MonthlyIncome]]&lt;7000,"Medium","High"))</f>
        <v>Low</v>
      </c>
      <c r="AL1429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430" spans="1:38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tr">
        <f>IF(Table1[[#This Row],[Age]]&lt;=25,"Young",IF(Table1[[#This Row],[Age]]&lt;=35,"Early Career",IF(Table1[[#This Row],[Age]]&lt;=45,"Mid Career","Senior")))</f>
        <v>Early Career</v>
      </c>
      <c r="AK1430" t="str">
        <f>IF(Table1[[#This Row],[MonthlyIncome]]&lt;3000,"Low",IF(Table1[[#This Row],[MonthlyIncome]]&lt;7000,"Medium","High"))</f>
        <v>Low</v>
      </c>
      <c r="AL143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431" spans="1:38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tr">
        <f>IF(Table1[[#This Row],[Age]]&lt;=25,"Young",IF(Table1[[#This Row],[Age]]&lt;=35,"Early Career",IF(Table1[[#This Row],[Age]]&lt;=45,"Mid Career","Senior")))</f>
        <v>Mid Career</v>
      </c>
      <c r="AK1431" t="str">
        <f>IF(Table1[[#This Row],[MonthlyIncome]]&lt;3000,"Low",IF(Table1[[#This Row],[MonthlyIncome]]&lt;7000,"Medium","High"))</f>
        <v>Medium</v>
      </c>
      <c r="AL143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432" spans="1:38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tr">
        <f>IF(Table1[[#This Row],[Age]]&lt;=25,"Young",IF(Table1[[#This Row],[Age]]&lt;=35,"Early Career",IF(Table1[[#This Row],[Age]]&lt;=45,"Mid Career","Senior")))</f>
        <v>Mid Career</v>
      </c>
      <c r="AK1432" t="str">
        <f>IF(Table1[[#This Row],[MonthlyIncome]]&lt;3000,"Low",IF(Table1[[#This Row],[MonthlyIncome]]&lt;7000,"Medium","High"))</f>
        <v>High</v>
      </c>
      <c r="AL1432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433" spans="1:38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tr">
        <f>IF(Table1[[#This Row],[Age]]&lt;=25,"Young",IF(Table1[[#This Row],[Age]]&lt;=35,"Early Career",IF(Table1[[#This Row],[Age]]&lt;=45,"Mid Career","Senior")))</f>
        <v>Early Career</v>
      </c>
      <c r="AK1433" t="str">
        <f>IF(Table1[[#This Row],[MonthlyIncome]]&lt;3000,"Low",IF(Table1[[#This Row],[MonthlyIncome]]&lt;7000,"Medium","High"))</f>
        <v>High</v>
      </c>
      <c r="AL1433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434" spans="1:38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tr">
        <f>IF(Table1[[#This Row],[Age]]&lt;=25,"Young",IF(Table1[[#This Row],[Age]]&lt;=35,"Early Career",IF(Table1[[#This Row],[Age]]&lt;=45,"Mid Career","Senior")))</f>
        <v>Mid Career</v>
      </c>
      <c r="AK1434" t="str">
        <f>IF(Table1[[#This Row],[MonthlyIncome]]&lt;3000,"Low",IF(Table1[[#This Row],[MonthlyIncome]]&lt;7000,"Medium","High"))</f>
        <v>High</v>
      </c>
      <c r="AL1434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435" spans="1:38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tr">
        <f>IF(Table1[[#This Row],[Age]]&lt;=25,"Young",IF(Table1[[#This Row],[Age]]&lt;=35,"Early Career",IF(Table1[[#This Row],[Age]]&lt;=45,"Mid Career","Senior")))</f>
        <v>Young</v>
      </c>
      <c r="AK1435" t="str">
        <f>IF(Table1[[#This Row],[MonthlyIncome]]&lt;3000,"Low",IF(Table1[[#This Row],[MonthlyIncome]]&lt;7000,"Medium","High"))</f>
        <v>Medium</v>
      </c>
      <c r="AL1435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436" spans="1:38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tr">
        <f>IF(Table1[[#This Row],[Age]]&lt;=25,"Young",IF(Table1[[#This Row],[Age]]&lt;=35,"Early Career",IF(Table1[[#This Row],[Age]]&lt;=45,"Mid Career","Senior")))</f>
        <v>Senior</v>
      </c>
      <c r="AK1436" t="str">
        <f>IF(Table1[[#This Row],[MonthlyIncome]]&lt;3000,"Low",IF(Table1[[#This Row],[MonthlyIncome]]&lt;7000,"Medium","High"))</f>
        <v>Medium</v>
      </c>
      <c r="AL143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437" spans="1:38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tr">
        <f>IF(Table1[[#This Row],[Age]]&lt;=25,"Young",IF(Table1[[#This Row],[Age]]&lt;=35,"Early Career",IF(Table1[[#This Row],[Age]]&lt;=45,"Mid Career","Senior")))</f>
        <v>Mid Career</v>
      </c>
      <c r="AK1437" t="str">
        <f>IF(Table1[[#This Row],[MonthlyIncome]]&lt;3000,"Low",IF(Table1[[#This Row],[MonthlyIncome]]&lt;7000,"Medium","High"))</f>
        <v>Low</v>
      </c>
      <c r="AL143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438" spans="1:38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tr">
        <f>IF(Table1[[#This Row],[Age]]&lt;=25,"Young",IF(Table1[[#This Row],[Age]]&lt;=35,"Early Career",IF(Table1[[#This Row],[Age]]&lt;=45,"Mid Career","Senior")))</f>
        <v>Young</v>
      </c>
      <c r="AK1438" t="str">
        <f>IF(Table1[[#This Row],[MonthlyIncome]]&lt;3000,"Low",IF(Table1[[#This Row],[MonthlyIncome]]&lt;7000,"Medium","High"))</f>
        <v>Low</v>
      </c>
      <c r="AL1438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439" spans="1:38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tr">
        <f>IF(Table1[[#This Row],[Age]]&lt;=25,"Young",IF(Table1[[#This Row],[Age]]&lt;=35,"Early Career",IF(Table1[[#This Row],[Age]]&lt;=45,"Mid Career","Senior")))</f>
        <v>Mid Career</v>
      </c>
      <c r="AK1439" t="str">
        <f>IF(Table1[[#This Row],[MonthlyIncome]]&lt;3000,"Low",IF(Table1[[#This Row],[MonthlyIncome]]&lt;7000,"Medium","High"))</f>
        <v>High</v>
      </c>
      <c r="AL1439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440" spans="1:38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tr">
        <f>IF(Table1[[#This Row],[Age]]&lt;=25,"Young",IF(Table1[[#This Row],[Age]]&lt;=35,"Early Career",IF(Table1[[#This Row],[Age]]&lt;=45,"Mid Career","Senior")))</f>
        <v>Young</v>
      </c>
      <c r="AK1440" t="str">
        <f>IF(Table1[[#This Row],[MonthlyIncome]]&lt;3000,"Low",IF(Table1[[#This Row],[MonthlyIncome]]&lt;7000,"Medium","High"))</f>
        <v>Low</v>
      </c>
      <c r="AL1440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441" spans="1:38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tr">
        <f>IF(Table1[[#This Row],[Age]]&lt;=25,"Young",IF(Table1[[#This Row],[Age]]&lt;=35,"Early Career",IF(Table1[[#This Row],[Age]]&lt;=45,"Mid Career","Senior")))</f>
        <v>Mid Career</v>
      </c>
      <c r="AK1441" t="str">
        <f>IF(Table1[[#This Row],[MonthlyIncome]]&lt;3000,"Low",IF(Table1[[#This Row],[MonthlyIncome]]&lt;7000,"Medium","High"))</f>
        <v>High</v>
      </c>
      <c r="AL1441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442" spans="1:38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tr">
        <f>IF(Table1[[#This Row],[Age]]&lt;=25,"Young",IF(Table1[[#This Row],[Age]]&lt;=35,"Early Career",IF(Table1[[#This Row],[Age]]&lt;=45,"Mid Career","Senior")))</f>
        <v>Mid Career</v>
      </c>
      <c r="AK1442" t="str">
        <f>IF(Table1[[#This Row],[MonthlyIncome]]&lt;3000,"Low",IF(Table1[[#This Row],[MonthlyIncome]]&lt;7000,"Medium","High"))</f>
        <v>Medium</v>
      </c>
      <c r="AL144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443" spans="1:38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tr">
        <f>IF(Table1[[#This Row],[Age]]&lt;=25,"Young",IF(Table1[[#This Row],[Age]]&lt;=35,"Early Career",IF(Table1[[#This Row],[Age]]&lt;=45,"Mid Career","Senior")))</f>
        <v>Senior</v>
      </c>
      <c r="AK1443" t="str">
        <f>IF(Table1[[#This Row],[MonthlyIncome]]&lt;3000,"Low",IF(Table1[[#This Row],[MonthlyIncome]]&lt;7000,"Medium","High"))</f>
        <v>Medium</v>
      </c>
      <c r="AL1443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444" spans="1:38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tr">
        <f>IF(Table1[[#This Row],[Age]]&lt;=25,"Young",IF(Table1[[#This Row],[Age]]&lt;=35,"Early Career",IF(Table1[[#This Row],[Age]]&lt;=45,"Mid Career","Senior")))</f>
        <v>Early Career</v>
      </c>
      <c r="AK1444" t="str">
        <f>IF(Table1[[#This Row],[MonthlyIncome]]&lt;3000,"Low",IF(Table1[[#This Row],[MonthlyIncome]]&lt;7000,"Medium","High"))</f>
        <v>Medium</v>
      </c>
      <c r="AL1444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445" spans="1:38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tr">
        <f>IF(Table1[[#This Row],[Age]]&lt;=25,"Young",IF(Table1[[#This Row],[Age]]&lt;=35,"Early Career",IF(Table1[[#This Row],[Age]]&lt;=45,"Mid Career","Senior")))</f>
        <v>Mid Career</v>
      </c>
      <c r="AK1445" t="str">
        <f>IF(Table1[[#This Row],[MonthlyIncome]]&lt;3000,"Low",IF(Table1[[#This Row],[MonthlyIncome]]&lt;7000,"Medium","High"))</f>
        <v>High</v>
      </c>
      <c r="AL1445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446" spans="1:38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tr">
        <f>IF(Table1[[#This Row],[Age]]&lt;=25,"Young",IF(Table1[[#This Row],[Age]]&lt;=35,"Early Career",IF(Table1[[#This Row],[Age]]&lt;=45,"Mid Career","Senior")))</f>
        <v>Senior</v>
      </c>
      <c r="AK1446" t="str">
        <f>IF(Table1[[#This Row],[MonthlyIncome]]&lt;3000,"Low",IF(Table1[[#This Row],[MonthlyIncome]]&lt;7000,"Medium","High"))</f>
        <v>Low</v>
      </c>
      <c r="AL1446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447" spans="1:38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tr">
        <f>IF(Table1[[#This Row],[Age]]&lt;=25,"Young",IF(Table1[[#This Row],[Age]]&lt;=35,"Early Career",IF(Table1[[#This Row],[Age]]&lt;=45,"Mid Career","Senior")))</f>
        <v>Mid Career</v>
      </c>
      <c r="AK1447" t="str">
        <f>IF(Table1[[#This Row],[MonthlyIncome]]&lt;3000,"Low",IF(Table1[[#This Row],[MonthlyIncome]]&lt;7000,"Medium","High"))</f>
        <v>High</v>
      </c>
      <c r="AL1447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448" spans="1:38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tr">
        <f>IF(Table1[[#This Row],[Age]]&lt;=25,"Young",IF(Table1[[#This Row],[Age]]&lt;=35,"Early Career",IF(Table1[[#This Row],[Age]]&lt;=45,"Mid Career","Senior")))</f>
        <v>Early Career</v>
      </c>
      <c r="AK1448" t="str">
        <f>IF(Table1[[#This Row],[MonthlyIncome]]&lt;3000,"Low",IF(Table1[[#This Row],[MonthlyIncome]]&lt;7000,"Medium","High"))</f>
        <v>Medium</v>
      </c>
      <c r="AL144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449" spans="1:38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tr">
        <f>IF(Table1[[#This Row],[Age]]&lt;=25,"Young",IF(Table1[[#This Row],[Age]]&lt;=35,"Early Career",IF(Table1[[#This Row],[Age]]&lt;=45,"Mid Career","Senior")))</f>
        <v>Mid Career</v>
      </c>
      <c r="AK1449" t="str">
        <f>IF(Table1[[#This Row],[MonthlyIncome]]&lt;3000,"Low",IF(Table1[[#This Row],[MonthlyIncome]]&lt;7000,"Medium","High"))</f>
        <v>Medium</v>
      </c>
      <c r="AL1449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450" spans="1:38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tr">
        <f>IF(Table1[[#This Row],[Age]]&lt;=25,"Young",IF(Table1[[#This Row],[Age]]&lt;=35,"Early Career",IF(Table1[[#This Row],[Age]]&lt;=45,"Mid Career","Senior")))</f>
        <v>Mid Career</v>
      </c>
      <c r="AK1450" t="str">
        <f>IF(Table1[[#This Row],[MonthlyIncome]]&lt;3000,"Low",IF(Table1[[#This Row],[MonthlyIncome]]&lt;7000,"Medium","High"))</f>
        <v>High</v>
      </c>
      <c r="AL145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451" spans="1:38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tr">
        <f>IF(Table1[[#This Row],[Age]]&lt;=25,"Young",IF(Table1[[#This Row],[Age]]&lt;=35,"Early Career",IF(Table1[[#This Row],[Age]]&lt;=45,"Mid Career","Senior")))</f>
        <v>Early Career</v>
      </c>
      <c r="AK1451" t="str">
        <f>IF(Table1[[#This Row],[MonthlyIncome]]&lt;3000,"Low",IF(Table1[[#This Row],[MonthlyIncome]]&lt;7000,"Medium","High"))</f>
        <v>Low</v>
      </c>
      <c r="AL145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452" spans="1:38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tr">
        <f>IF(Table1[[#This Row],[Age]]&lt;=25,"Young",IF(Table1[[#This Row],[Age]]&lt;=35,"Early Career",IF(Table1[[#This Row],[Age]]&lt;=45,"Mid Career","Senior")))</f>
        <v>Early Career</v>
      </c>
      <c r="AK1452" t="str">
        <f>IF(Table1[[#This Row],[MonthlyIncome]]&lt;3000,"Low",IF(Table1[[#This Row],[MonthlyIncome]]&lt;7000,"Medium","High"))</f>
        <v>High</v>
      </c>
      <c r="AL1452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453" spans="1:38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tr">
        <f>IF(Table1[[#This Row],[Age]]&lt;=25,"Young",IF(Table1[[#This Row],[Age]]&lt;=35,"Early Career",IF(Table1[[#This Row],[Age]]&lt;=45,"Mid Career","Senior")))</f>
        <v>Mid Career</v>
      </c>
      <c r="AK1453" t="str">
        <f>IF(Table1[[#This Row],[MonthlyIncome]]&lt;3000,"Low",IF(Table1[[#This Row],[MonthlyIncome]]&lt;7000,"Medium","High"))</f>
        <v>Medium</v>
      </c>
      <c r="AL1453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454" spans="1:38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tr">
        <f>IF(Table1[[#This Row],[Age]]&lt;=25,"Young",IF(Table1[[#This Row],[Age]]&lt;=35,"Early Career",IF(Table1[[#This Row],[Age]]&lt;=45,"Mid Career","Senior")))</f>
        <v>Senior</v>
      </c>
      <c r="AK1454" t="str">
        <f>IF(Table1[[#This Row],[MonthlyIncome]]&lt;3000,"Low",IF(Table1[[#This Row],[MonthlyIncome]]&lt;7000,"Medium","High"))</f>
        <v>Medium</v>
      </c>
      <c r="AL1454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455" spans="1:38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tr">
        <f>IF(Table1[[#This Row],[Age]]&lt;=25,"Young",IF(Table1[[#This Row],[Age]]&lt;=35,"Early Career",IF(Table1[[#This Row],[Age]]&lt;=45,"Mid Career","Senior")))</f>
        <v>Mid Career</v>
      </c>
      <c r="AK1455" t="str">
        <f>IF(Table1[[#This Row],[MonthlyIncome]]&lt;3000,"Low",IF(Table1[[#This Row],[MonthlyIncome]]&lt;7000,"Medium","High"))</f>
        <v>Medium</v>
      </c>
      <c r="AL145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456" spans="1:38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tr">
        <f>IF(Table1[[#This Row],[Age]]&lt;=25,"Young",IF(Table1[[#This Row],[Age]]&lt;=35,"Early Career",IF(Table1[[#This Row],[Age]]&lt;=45,"Mid Career","Senior")))</f>
        <v>Mid Career</v>
      </c>
      <c r="AK1456" t="str">
        <f>IF(Table1[[#This Row],[MonthlyIncome]]&lt;3000,"Low",IF(Table1[[#This Row],[MonthlyIncome]]&lt;7000,"Medium","High"))</f>
        <v>Medium</v>
      </c>
      <c r="AL145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457" spans="1:38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tr">
        <f>IF(Table1[[#This Row],[Age]]&lt;=25,"Young",IF(Table1[[#This Row],[Age]]&lt;=35,"Early Career",IF(Table1[[#This Row],[Age]]&lt;=45,"Mid Career","Senior")))</f>
        <v>Mid Career</v>
      </c>
      <c r="AK1457" t="str">
        <f>IF(Table1[[#This Row],[MonthlyIncome]]&lt;3000,"Low",IF(Table1[[#This Row],[MonthlyIncome]]&lt;7000,"Medium","High"))</f>
        <v>Low</v>
      </c>
      <c r="AL1457" t="str">
        <f>IF(Table1[[#This Row],[YearsAtCompany]]&lt;=2,"0–2 Years",IF(Table1[[#This Row],[YearsAtCompany]]&lt;=5,"3–5 Years",IF(Table1[[#This Row],[YearsAtCompany]]&lt;=10,"6–10 Years","11+ Years")))</f>
        <v>0–2 Years</v>
      </c>
    </row>
    <row r="1458" spans="1:38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tr">
        <f>IF(Table1[[#This Row],[Age]]&lt;=25,"Young",IF(Table1[[#This Row],[Age]]&lt;=35,"Early Career",IF(Table1[[#This Row],[Age]]&lt;=45,"Mid Career","Senior")))</f>
        <v>Early Career</v>
      </c>
      <c r="AK1458" t="str">
        <f>IF(Table1[[#This Row],[MonthlyIncome]]&lt;3000,"Low",IF(Table1[[#This Row],[MonthlyIncome]]&lt;7000,"Medium","High"))</f>
        <v>Medium</v>
      </c>
      <c r="AL145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459" spans="1:38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tr">
        <f>IF(Table1[[#This Row],[Age]]&lt;=25,"Young",IF(Table1[[#This Row],[Age]]&lt;=35,"Early Career",IF(Table1[[#This Row],[Age]]&lt;=45,"Mid Career","Senior")))</f>
        <v>Mid Career</v>
      </c>
      <c r="AK1459" t="str">
        <f>IF(Table1[[#This Row],[MonthlyIncome]]&lt;3000,"Low",IF(Table1[[#This Row],[MonthlyIncome]]&lt;7000,"Medium","High"))</f>
        <v>Low</v>
      </c>
      <c r="AL1459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460" spans="1:38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tr">
        <f>IF(Table1[[#This Row],[Age]]&lt;=25,"Young",IF(Table1[[#This Row],[Age]]&lt;=35,"Early Career",IF(Table1[[#This Row],[Age]]&lt;=45,"Mid Career","Senior")))</f>
        <v>Early Career</v>
      </c>
      <c r="AK1460" t="str">
        <f>IF(Table1[[#This Row],[MonthlyIncome]]&lt;3000,"Low",IF(Table1[[#This Row],[MonthlyIncome]]&lt;7000,"Medium","High"))</f>
        <v>Low</v>
      </c>
      <c r="AL1460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461" spans="1:38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tr">
        <f>IF(Table1[[#This Row],[Age]]&lt;=25,"Young",IF(Table1[[#This Row],[Age]]&lt;=35,"Early Career",IF(Table1[[#This Row],[Age]]&lt;=45,"Mid Career","Senior")))</f>
        <v>Early Career</v>
      </c>
      <c r="AK1461" t="str">
        <f>IF(Table1[[#This Row],[MonthlyIncome]]&lt;3000,"Low",IF(Table1[[#This Row],[MonthlyIncome]]&lt;7000,"Medium","High"))</f>
        <v>Medium</v>
      </c>
      <c r="AL1461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462" spans="1:38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tr">
        <f>IF(Table1[[#This Row],[Age]]&lt;=25,"Young",IF(Table1[[#This Row],[Age]]&lt;=35,"Early Career",IF(Table1[[#This Row],[Age]]&lt;=45,"Mid Career","Senior")))</f>
        <v>Early Career</v>
      </c>
      <c r="AK1462" t="str">
        <f>IF(Table1[[#This Row],[MonthlyIncome]]&lt;3000,"Low",IF(Table1[[#This Row],[MonthlyIncome]]&lt;7000,"Medium","High"))</f>
        <v>Medium</v>
      </c>
      <c r="AL1462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463" spans="1:38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tr">
        <f>IF(Table1[[#This Row],[Age]]&lt;=25,"Young",IF(Table1[[#This Row],[Age]]&lt;=35,"Early Career",IF(Table1[[#This Row],[Age]]&lt;=45,"Mid Career","Senior")))</f>
        <v>Senior</v>
      </c>
      <c r="AK1463" t="str">
        <f>IF(Table1[[#This Row],[MonthlyIncome]]&lt;3000,"Low",IF(Table1[[#This Row],[MonthlyIncome]]&lt;7000,"Medium","High"))</f>
        <v>High</v>
      </c>
      <c r="AL1463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464" spans="1:38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tr">
        <f>IF(Table1[[#This Row],[Age]]&lt;=25,"Young",IF(Table1[[#This Row],[Age]]&lt;=35,"Early Career",IF(Table1[[#This Row],[Age]]&lt;=45,"Mid Career","Senior")))</f>
        <v>Mid Career</v>
      </c>
      <c r="AK1464" t="str">
        <f>IF(Table1[[#This Row],[MonthlyIncome]]&lt;3000,"Low",IF(Table1[[#This Row],[MonthlyIncome]]&lt;7000,"Medium","High"))</f>
        <v>High</v>
      </c>
      <c r="AL1464" t="str">
        <f>IF(Table1[[#This Row],[YearsAtCompany]]&lt;=2,"0–2 Years",IF(Table1[[#This Row],[YearsAtCompany]]&lt;=5,"3–5 Years",IF(Table1[[#This Row],[YearsAtCompany]]&lt;=10,"6–10 Years","11+ Years")))</f>
        <v>11+ Years</v>
      </c>
    </row>
    <row r="1465" spans="1:38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tr">
        <f>IF(Table1[[#This Row],[Age]]&lt;=25,"Young",IF(Table1[[#This Row],[Age]]&lt;=35,"Early Career",IF(Table1[[#This Row],[Age]]&lt;=45,"Mid Career","Senior")))</f>
        <v>Early Career</v>
      </c>
      <c r="AK1465" t="str">
        <f>IF(Table1[[#This Row],[MonthlyIncome]]&lt;3000,"Low",IF(Table1[[#This Row],[MonthlyIncome]]&lt;7000,"Medium","High"))</f>
        <v>High</v>
      </c>
      <c r="AL1465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466" spans="1:38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tr">
        <f>IF(Table1[[#This Row],[Age]]&lt;=25,"Young",IF(Table1[[#This Row],[Age]]&lt;=35,"Early Career",IF(Table1[[#This Row],[Age]]&lt;=45,"Mid Career","Senior")))</f>
        <v>Early Career</v>
      </c>
      <c r="AK1466" t="str">
        <f>IF(Table1[[#This Row],[MonthlyIncome]]&lt;3000,"Low",IF(Table1[[#This Row],[MonthlyIncome]]&lt;7000,"Medium","High"))</f>
        <v>Low</v>
      </c>
      <c r="AL1466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467" spans="1:38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tr">
        <f>IF(Table1[[#This Row],[Age]]&lt;=25,"Young",IF(Table1[[#This Row],[Age]]&lt;=35,"Early Career",IF(Table1[[#This Row],[Age]]&lt;=45,"Mid Career","Senior")))</f>
        <v>Mid Career</v>
      </c>
      <c r="AK1467" t="str">
        <f>IF(Table1[[#This Row],[MonthlyIncome]]&lt;3000,"Low",IF(Table1[[#This Row],[MonthlyIncome]]&lt;7000,"Medium","High"))</f>
        <v>Low</v>
      </c>
      <c r="AL1467" t="str">
        <f>IF(Table1[[#This Row],[YearsAtCompany]]&lt;=2,"0–2 Years",IF(Table1[[#This Row],[YearsAtCompany]]&lt;=5,"3–5 Years",IF(Table1[[#This Row],[YearsAtCompany]]&lt;=10,"6–10 Years","11+ Years")))</f>
        <v>3–5 Years</v>
      </c>
    </row>
    <row r="1468" spans="1:38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tr">
        <f>IF(Table1[[#This Row],[Age]]&lt;=25,"Young",IF(Table1[[#This Row],[Age]]&lt;=35,"Early Career",IF(Table1[[#This Row],[Age]]&lt;=45,"Mid Career","Senior")))</f>
        <v>Mid Career</v>
      </c>
      <c r="AK1468" t="str">
        <f>IF(Table1[[#This Row],[MonthlyIncome]]&lt;3000,"Low",IF(Table1[[#This Row],[MonthlyIncome]]&lt;7000,"Medium","High"))</f>
        <v>High</v>
      </c>
      <c r="AL1468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469" spans="1:38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tr">
        <f>IF(Table1[[#This Row],[Age]]&lt;=25,"Young",IF(Table1[[#This Row],[Age]]&lt;=35,"Early Career",IF(Table1[[#This Row],[Age]]&lt;=45,"Mid Career","Senior")))</f>
        <v>Early Career</v>
      </c>
      <c r="AK1469" t="str">
        <f>IF(Table1[[#This Row],[MonthlyIncome]]&lt;3000,"Low",IF(Table1[[#This Row],[MonthlyIncome]]&lt;7000,"Medium","High"))</f>
        <v>Medium</v>
      </c>
      <c r="AL1469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470" spans="1:38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tr">
        <f>IF(Table1[[#This Row],[Age]]&lt;=25,"Young",IF(Table1[[#This Row],[Age]]&lt;=35,"Early Career",IF(Table1[[#This Row],[Age]]&lt;=45,"Mid Career","Senior")))</f>
        <v>Senior</v>
      </c>
      <c r="AK1470" t="str">
        <f>IF(Table1[[#This Row],[MonthlyIncome]]&lt;3000,"Low",IF(Table1[[#This Row],[MonthlyIncome]]&lt;7000,"Medium","High"))</f>
        <v>Medium</v>
      </c>
      <c r="AL1470" t="str">
        <f>IF(Table1[[#This Row],[YearsAtCompany]]&lt;=2,"0–2 Years",IF(Table1[[#This Row],[YearsAtCompany]]&lt;=5,"3–5 Years",IF(Table1[[#This Row],[YearsAtCompany]]&lt;=10,"6–10 Years","11+ Years")))</f>
        <v>6–10 Years</v>
      </c>
    </row>
    <row r="1471" spans="1:38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tr">
        <f>IF(Table1[[#This Row],[Age]]&lt;=25,"Young",IF(Table1[[#This Row],[Age]]&lt;=35,"Early Career",IF(Table1[[#This Row],[Age]]&lt;=45,"Mid Career","Senior")))</f>
        <v>Early Career</v>
      </c>
      <c r="AK1471" t="str">
        <f>IF(Table1[[#This Row],[MonthlyIncome]]&lt;3000,"Low",IF(Table1[[#This Row],[MonthlyIncome]]&lt;7000,"Medium","High"))</f>
        <v>Medium</v>
      </c>
      <c r="AL1471" t="str">
        <f>IF(Table1[[#This Row],[YearsAtCompany]]&lt;=2,"0–2 Years",IF(Table1[[#This Row],[YearsAtCompany]]&lt;=5,"3–5 Years",IF(Table1[[#This Row],[YearsAtCompany]]&lt;=10,"6–10 Years","11+ Years")))</f>
        <v>3–5 Years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Blexin</dc:creator>
  <cp:lastModifiedBy>Blessing Eze</cp:lastModifiedBy>
  <dcterms:created xsi:type="dcterms:W3CDTF">2026-08-19T10:55:36Z</dcterms:created>
  <dcterms:modified xsi:type="dcterms:W3CDTF">2026-10-03T13:46:42Z</dcterms:modified>
</cp:coreProperties>
</file>